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3.xml" ContentType="application/vnd.openxmlformats-officedocument.spreadsheetml.comments+xml"/>
  <Override PartName="/xl/drawings/drawing14.xml" ContentType="application/vnd.openxmlformats-officedocument.drawing+xml"/>
  <Override PartName="/xl/comments4.xml" ContentType="application/vnd.openxmlformats-officedocument.spreadsheetml.comments+xml"/>
  <Override PartName="/xl/drawings/drawing15.xml" ContentType="application/vnd.openxmlformats-officedocument.drawing+xml"/>
  <Override PartName="/xl/comments5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6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2U2uO5HhKXjOrVddlEjdUbnC4cEHls57\SOCIAL\Calendrier du personnel\"/>
    </mc:Choice>
  </mc:AlternateContent>
  <xr:revisionPtr revIDLastSave="0" documentId="13_ncr:1_{0C8F9482-2473-484F-96A5-0154ABD47725}" xr6:coauthVersionLast="47" xr6:coauthVersionMax="47" xr10:uidLastSave="{00000000-0000-0000-0000-000000000000}"/>
  <bookViews>
    <workbookView xWindow="-19308" yWindow="-108" windowWidth="19416" windowHeight="10296" tabRatio="682" firstSheet="4" activeTab="6" xr2:uid="{00000000-000D-0000-FFFF-FFFF00000000}"/>
  </bookViews>
  <sheets>
    <sheet name="Sommaire" sheetId="2" r:id="rId1"/>
    <sheet name="MODELE" sheetId="32" r:id="rId2"/>
    <sheet name="BOUFRIDA" sheetId="33" r:id="rId3"/>
    <sheet name="BOUVEYRON" sheetId="34" r:id="rId4"/>
    <sheet name="CASANOVA" sheetId="35" r:id="rId5"/>
    <sheet name="CHAMBERT" sheetId="47" r:id="rId6"/>
    <sheet name="DA SILVA CARDOSO " sheetId="50" r:id="rId7"/>
    <sheet name="EL IDRISSI" sheetId="36" r:id="rId8"/>
    <sheet name="GENAND" sheetId="38" r:id="rId9"/>
    <sheet name="GOYAT " sheetId="39" r:id="rId10"/>
    <sheet name="GROS" sheetId="40" r:id="rId11"/>
    <sheet name="JEAN" sheetId="43" r:id="rId12"/>
    <sheet name="LEBRUN " sheetId="51" r:id="rId13"/>
    <sheet name="OUASSIF" sheetId="41" r:id="rId14"/>
    <sheet name="POINSIGNON" sheetId="42" r:id="rId15"/>
    <sheet name="SARDA" sheetId="44" r:id="rId16"/>
    <sheet name="SOW" sheetId="48" r:id="rId17"/>
    <sheet name="TROUILLOUD" sheetId="45" r:id="rId18"/>
    <sheet name="VALLAT" sheetId="46" r:id="rId19"/>
    <sheet name="GARCIA" sheetId="37" r:id="rId20"/>
    <sheet name="LACAQUE" sheetId="49" r:id="rId21"/>
  </sheets>
  <definedNames>
    <definedName name="_xlnm._FilterDatabase" localSheetId="2" hidden="1">BOUFRIDA!$A$1:$AX$60</definedName>
    <definedName name="_xlnm._FilterDatabase" localSheetId="3" hidden="1">BOUVEYRON!$A$1:$AX$60</definedName>
    <definedName name="_xlnm._FilterDatabase" localSheetId="4" hidden="1">CASANOVA!$A$1:$AX$60</definedName>
    <definedName name="_xlnm._FilterDatabase" localSheetId="5" hidden="1">CHAMBERT!$A$1:$AX$60</definedName>
    <definedName name="_xlnm._FilterDatabase" localSheetId="6" hidden="1">'DA SILVA CARDOSO '!$A$1:$AX$60</definedName>
    <definedName name="_xlnm._FilterDatabase" localSheetId="7" hidden="1">'EL IDRISSI'!$A$1:$AX$60</definedName>
    <definedName name="_xlnm._FilterDatabase" localSheetId="19" hidden="1">GARCIA!$A$1:$AX$60</definedName>
    <definedName name="_xlnm._FilterDatabase" localSheetId="8" hidden="1">GENAND!$A$1:$AX$60</definedName>
    <definedName name="_xlnm._FilterDatabase" localSheetId="9" hidden="1">'GOYAT '!$A$1:$AX$60</definedName>
    <definedName name="_xlnm._FilterDatabase" localSheetId="10" hidden="1">GROS!$A$1:$AX$60</definedName>
    <definedName name="_xlnm._FilterDatabase" localSheetId="11" hidden="1">JEAN!$A$1:$AX$60</definedName>
    <definedName name="_xlnm._FilterDatabase" localSheetId="20" hidden="1">LACAQUE!$A$1:$AX$60</definedName>
    <definedName name="_xlnm._FilterDatabase" localSheetId="12" hidden="1">'LEBRUN '!$A$1:$AX$60</definedName>
    <definedName name="_xlnm._FilterDatabase" localSheetId="1" hidden="1">MODELE!$A$1:$AX$60</definedName>
    <definedName name="_xlnm._FilterDatabase" localSheetId="13" hidden="1">OUASSIF!$A$1:$AX$60</definedName>
    <definedName name="_xlnm._FilterDatabase" localSheetId="14" hidden="1">POINSIGNON!$A$1:$AX$60</definedName>
    <definedName name="_xlnm._FilterDatabase" localSheetId="15" hidden="1">SARDA!$A$1:$AX$60</definedName>
    <definedName name="_xlnm._FilterDatabase" localSheetId="16" hidden="1">SOW!$A$1:$AX$60</definedName>
    <definedName name="_xlnm._FilterDatabase" localSheetId="17" hidden="1">TROUILLOUD!$A$1:$AX$60</definedName>
    <definedName name="_xlnm._FilterDatabase" localSheetId="18" hidden="1">VALLAT!$A$1:$AX$60</definedName>
    <definedName name="LIS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5" i="51" l="1"/>
  <c r="AA35" i="51" s="1"/>
  <c r="AE35" i="51" s="1"/>
  <c r="AI35" i="51" s="1"/>
  <c r="AM35" i="51" s="1"/>
  <c r="AQ35" i="51" s="1"/>
  <c r="AV33" i="51"/>
  <c r="AU33" i="51"/>
  <c r="AR33" i="51"/>
  <c r="AQ33" i="51"/>
  <c r="AN33" i="51"/>
  <c r="AM33" i="51"/>
  <c r="AJ33" i="51"/>
  <c r="AI33" i="51"/>
  <c r="AF33" i="51"/>
  <c r="AE33" i="51"/>
  <c r="AB33" i="51"/>
  <c r="AA33" i="51"/>
  <c r="X33" i="51"/>
  <c r="W33" i="51"/>
  <c r="T33" i="51"/>
  <c r="S33" i="51"/>
  <c r="P33" i="51"/>
  <c r="O33" i="51"/>
  <c r="L33" i="51"/>
  <c r="K33" i="51"/>
  <c r="H33" i="51"/>
  <c r="G33" i="51"/>
  <c r="AT9" i="51"/>
  <c r="AT10" i="51" s="1"/>
  <c r="AT11" i="51" s="1"/>
  <c r="AT12" i="51" s="1"/>
  <c r="AT13" i="51" s="1"/>
  <c r="AT14" i="51" s="1"/>
  <c r="AT15" i="51" s="1"/>
  <c r="AT16" i="51" s="1"/>
  <c r="AT17" i="51" s="1"/>
  <c r="AT18" i="51" s="1"/>
  <c r="AT19" i="51" s="1"/>
  <c r="AT20" i="51" s="1"/>
  <c r="AT21" i="51" s="1"/>
  <c r="AT22" i="51" s="1"/>
  <c r="AT23" i="51" s="1"/>
  <c r="AT24" i="51" s="1"/>
  <c r="AT25" i="51" s="1"/>
  <c r="AT26" i="51" s="1"/>
  <c r="AT27" i="51" s="1"/>
  <c r="AT28" i="51" s="1"/>
  <c r="AT29" i="51" s="1"/>
  <c r="AT30" i="51" s="1"/>
  <c r="AT31" i="51" s="1"/>
  <c r="AT32" i="51" s="1"/>
  <c r="V9" i="51"/>
  <c r="V10" i="51" s="1"/>
  <c r="V11" i="51" s="1"/>
  <c r="V12" i="51" s="1"/>
  <c r="V13" i="51" s="1"/>
  <c r="V14" i="51" s="1"/>
  <c r="V15" i="51" s="1"/>
  <c r="V16" i="51" s="1"/>
  <c r="V17" i="51" s="1"/>
  <c r="V18" i="51" s="1"/>
  <c r="V19" i="51" s="1"/>
  <c r="V20" i="51" s="1"/>
  <c r="V21" i="51" s="1"/>
  <c r="V22" i="51" s="1"/>
  <c r="V23" i="51" s="1"/>
  <c r="V24" i="51" s="1"/>
  <c r="V25" i="51" s="1"/>
  <c r="V26" i="51" s="1"/>
  <c r="V27" i="51" s="1"/>
  <c r="V28" i="51" s="1"/>
  <c r="V29" i="51" s="1"/>
  <c r="V30" i="51" s="1"/>
  <c r="V31" i="51" s="1"/>
  <c r="R9" i="51"/>
  <c r="R10" i="51" s="1"/>
  <c r="R11" i="51" s="1"/>
  <c r="R12" i="51" s="1"/>
  <c r="R13" i="51" s="1"/>
  <c r="R14" i="51" s="1"/>
  <c r="R15" i="51" s="1"/>
  <c r="R16" i="51" s="1"/>
  <c r="R17" i="51" s="1"/>
  <c r="R18" i="51" s="1"/>
  <c r="R19" i="51" s="1"/>
  <c r="R20" i="51" s="1"/>
  <c r="R21" i="51" s="1"/>
  <c r="R22" i="51" s="1"/>
  <c r="R23" i="51" s="1"/>
  <c r="R24" i="51" s="1"/>
  <c r="R25" i="51" s="1"/>
  <c r="R26" i="51" s="1"/>
  <c r="R27" i="51" s="1"/>
  <c r="R28" i="51" s="1"/>
  <c r="R29" i="51" s="1"/>
  <c r="R30" i="51" s="1"/>
  <c r="R31" i="51" s="1"/>
  <c r="R32" i="51" s="1"/>
  <c r="N9" i="51"/>
  <c r="N10" i="51" s="1"/>
  <c r="N11" i="51" s="1"/>
  <c r="N12" i="51" s="1"/>
  <c r="N13" i="51" s="1"/>
  <c r="N14" i="51" s="1"/>
  <c r="N15" i="51" s="1"/>
  <c r="N16" i="51" s="1"/>
  <c r="N17" i="51" s="1"/>
  <c r="N18" i="51" s="1"/>
  <c r="N19" i="51" s="1"/>
  <c r="N20" i="51" s="1"/>
  <c r="N21" i="51" s="1"/>
  <c r="N22" i="51" s="1"/>
  <c r="N23" i="51" s="1"/>
  <c r="N24" i="51" s="1"/>
  <c r="N25" i="51" s="1"/>
  <c r="N26" i="51" s="1"/>
  <c r="N27" i="51" s="1"/>
  <c r="N28" i="51" s="1"/>
  <c r="N29" i="51" s="1"/>
  <c r="N30" i="51" s="1"/>
  <c r="N31" i="51" s="1"/>
  <c r="N32" i="51" s="1"/>
  <c r="AT8" i="51"/>
  <c r="AP8" i="51"/>
  <c r="AP9" i="51" s="1"/>
  <c r="AP10" i="51" s="1"/>
  <c r="AP11" i="51" s="1"/>
  <c r="AP12" i="51" s="1"/>
  <c r="AP13" i="51" s="1"/>
  <c r="AP14" i="51" s="1"/>
  <c r="AP15" i="51" s="1"/>
  <c r="AP16" i="51" s="1"/>
  <c r="AP17" i="51" s="1"/>
  <c r="AP18" i="51" s="1"/>
  <c r="AP19" i="51" s="1"/>
  <c r="AP20" i="51" s="1"/>
  <c r="AP21" i="51" s="1"/>
  <c r="AP22" i="51" s="1"/>
  <c r="AP23" i="51" s="1"/>
  <c r="AP24" i="51" s="1"/>
  <c r="AP25" i="51" s="1"/>
  <c r="AP26" i="51" s="1"/>
  <c r="AP27" i="51" s="1"/>
  <c r="AP28" i="51" s="1"/>
  <c r="AP29" i="51" s="1"/>
  <c r="AP30" i="51" s="1"/>
  <c r="AP31" i="51" s="1"/>
  <c r="AL8" i="51"/>
  <c r="AL9" i="51" s="1"/>
  <c r="AL10" i="51" s="1"/>
  <c r="AL11" i="51" s="1"/>
  <c r="AL12" i="51" s="1"/>
  <c r="AL13" i="51" s="1"/>
  <c r="AL14" i="51" s="1"/>
  <c r="AL15" i="51" s="1"/>
  <c r="AL16" i="51" s="1"/>
  <c r="AL17" i="51" s="1"/>
  <c r="AL18" i="51" s="1"/>
  <c r="AL19" i="51" s="1"/>
  <c r="AL20" i="51" s="1"/>
  <c r="AL21" i="51" s="1"/>
  <c r="AL22" i="51" s="1"/>
  <c r="AL23" i="51" s="1"/>
  <c r="AL24" i="51" s="1"/>
  <c r="AL25" i="51" s="1"/>
  <c r="AL26" i="51" s="1"/>
  <c r="AL27" i="51" s="1"/>
  <c r="AL28" i="51" s="1"/>
  <c r="AL29" i="51" s="1"/>
  <c r="AL30" i="51" s="1"/>
  <c r="AL31" i="51" s="1"/>
  <c r="AL32" i="51" s="1"/>
  <c r="AD8" i="51"/>
  <c r="AD9" i="51" s="1"/>
  <c r="AD10" i="51" s="1"/>
  <c r="AD11" i="51" s="1"/>
  <c r="AD12" i="51" s="1"/>
  <c r="AD13" i="51" s="1"/>
  <c r="AD14" i="51" s="1"/>
  <c r="AD15" i="51" s="1"/>
  <c r="AD16" i="51" s="1"/>
  <c r="AD17" i="51" s="1"/>
  <c r="AD18" i="51" s="1"/>
  <c r="AD19" i="51" s="1"/>
  <c r="AD20" i="51" s="1"/>
  <c r="AD21" i="51" s="1"/>
  <c r="AD22" i="51" s="1"/>
  <c r="AD23" i="51" s="1"/>
  <c r="AD24" i="51" s="1"/>
  <c r="AD25" i="51" s="1"/>
  <c r="AD26" i="51" s="1"/>
  <c r="AD27" i="51" s="1"/>
  <c r="AD28" i="51" s="1"/>
  <c r="AD29" i="51" s="1"/>
  <c r="AD30" i="51" s="1"/>
  <c r="AD31" i="51" s="1"/>
  <c r="AD32" i="51" s="1"/>
  <c r="V8" i="51"/>
  <c r="R8" i="51"/>
  <c r="N8" i="51"/>
  <c r="J8" i="51"/>
  <c r="J9" i="51" s="1"/>
  <c r="J10" i="51" s="1"/>
  <c r="J11" i="51" s="1"/>
  <c r="J12" i="51" s="1"/>
  <c r="J13" i="51" s="1"/>
  <c r="J14" i="51" s="1"/>
  <c r="J15" i="51" s="1"/>
  <c r="J16" i="51" s="1"/>
  <c r="J17" i="51" s="1"/>
  <c r="J18" i="51" s="1"/>
  <c r="J19" i="51" s="1"/>
  <c r="J20" i="51" s="1"/>
  <c r="J21" i="51" s="1"/>
  <c r="J22" i="51" s="1"/>
  <c r="J23" i="51" s="1"/>
  <c r="J24" i="51" s="1"/>
  <c r="J25" i="51" s="1"/>
  <c r="J26" i="51" s="1"/>
  <c r="J27" i="51" s="1"/>
  <c r="J28" i="51" s="1"/>
  <c r="J29" i="51" s="1"/>
  <c r="J30" i="51" s="1"/>
  <c r="J31" i="51" s="1"/>
  <c r="J32" i="51" s="1"/>
  <c r="B4" i="51"/>
  <c r="B5" i="51" s="1"/>
  <c r="B6" i="51" s="1"/>
  <c r="B7" i="51" s="1"/>
  <c r="B8" i="51" s="1"/>
  <c r="B9" i="51" s="1"/>
  <c r="B10" i="51" s="1"/>
  <c r="B11" i="51" s="1"/>
  <c r="B12" i="51" s="1"/>
  <c r="B13" i="51" s="1"/>
  <c r="B14" i="51" s="1"/>
  <c r="B15" i="51" s="1"/>
  <c r="B16" i="51" s="1"/>
  <c r="B17" i="51" s="1"/>
  <c r="B18" i="51" s="1"/>
  <c r="B19" i="51" s="1"/>
  <c r="B20" i="51" s="1"/>
  <c r="B21" i="51" s="1"/>
  <c r="B22" i="51" s="1"/>
  <c r="B23" i="51" s="1"/>
  <c r="B24" i="51" s="1"/>
  <c r="B25" i="51" s="1"/>
  <c r="B26" i="51" s="1"/>
  <c r="B27" i="51" s="1"/>
  <c r="B28" i="51" s="1"/>
  <c r="B29" i="51" s="1"/>
  <c r="B30" i="51" s="1"/>
  <c r="B31" i="51" s="1"/>
  <c r="B32" i="51" s="1"/>
  <c r="AT3" i="51"/>
  <c r="AT4" i="51" s="1"/>
  <c r="AT5" i="51" s="1"/>
  <c r="AT6" i="51" s="1"/>
  <c r="V3" i="51"/>
  <c r="V4" i="51" s="1"/>
  <c r="V5" i="51" s="1"/>
  <c r="V6" i="51" s="1"/>
  <c r="R3" i="51"/>
  <c r="R4" i="51" s="1"/>
  <c r="R5" i="51" s="1"/>
  <c r="R6" i="51" s="1"/>
  <c r="N3" i="51"/>
  <c r="N4" i="51" s="1"/>
  <c r="N5" i="51" s="1"/>
  <c r="N6" i="51" s="1"/>
  <c r="B3" i="51"/>
  <c r="AT2" i="51"/>
  <c r="AP2" i="51"/>
  <c r="AP3" i="51" s="1"/>
  <c r="AP4" i="51" s="1"/>
  <c r="AP5" i="51" s="1"/>
  <c r="AP6" i="51" s="1"/>
  <c r="AL2" i="51"/>
  <c r="AL3" i="51" s="1"/>
  <c r="AL4" i="51" s="1"/>
  <c r="AL5" i="51" s="1"/>
  <c r="AL6" i="51" s="1"/>
  <c r="AH2" i="51"/>
  <c r="AH3" i="51" s="1"/>
  <c r="AH4" i="51" s="1"/>
  <c r="AH5" i="51" s="1"/>
  <c r="AH6" i="51" s="1"/>
  <c r="AH7" i="51" s="1"/>
  <c r="AH8" i="51" s="1"/>
  <c r="AH9" i="51" s="1"/>
  <c r="AH10" i="51" s="1"/>
  <c r="AH11" i="51" s="1"/>
  <c r="AH12" i="51" s="1"/>
  <c r="AH13" i="51" s="1"/>
  <c r="AH14" i="51" s="1"/>
  <c r="AH15" i="51" s="1"/>
  <c r="AH16" i="51" s="1"/>
  <c r="AH17" i="51" s="1"/>
  <c r="AH18" i="51" s="1"/>
  <c r="AH19" i="51" s="1"/>
  <c r="AH20" i="51" s="1"/>
  <c r="AH21" i="51" s="1"/>
  <c r="AH22" i="51" s="1"/>
  <c r="AH23" i="51" s="1"/>
  <c r="AH24" i="51" s="1"/>
  <c r="AH25" i="51" s="1"/>
  <c r="AH26" i="51" s="1"/>
  <c r="AH27" i="51" s="1"/>
  <c r="AH28" i="51" s="1"/>
  <c r="AH29" i="51" s="1"/>
  <c r="AH30" i="51" s="1"/>
  <c r="AH31" i="51" s="1"/>
  <c r="AD2" i="51"/>
  <c r="AD3" i="51" s="1"/>
  <c r="AD4" i="51" s="1"/>
  <c r="AD5" i="51" s="1"/>
  <c r="AD6" i="51" s="1"/>
  <c r="Z2" i="51"/>
  <c r="Z3" i="51" s="1"/>
  <c r="Z4" i="51" s="1"/>
  <c r="Z5" i="51" s="1"/>
  <c r="Z6" i="51" s="1"/>
  <c r="Z7" i="51" s="1"/>
  <c r="Z8" i="51" s="1"/>
  <c r="Z9" i="51" s="1"/>
  <c r="Z10" i="51" s="1"/>
  <c r="Z11" i="51" s="1"/>
  <c r="Z12" i="51" s="1"/>
  <c r="Z13" i="51" s="1"/>
  <c r="Z14" i="51" s="1"/>
  <c r="Z15" i="51" s="1"/>
  <c r="Z16" i="51" s="1"/>
  <c r="Z17" i="51" s="1"/>
  <c r="Z18" i="51" s="1"/>
  <c r="Z19" i="51" s="1"/>
  <c r="Z20" i="51" s="1"/>
  <c r="Z21" i="51" s="1"/>
  <c r="Z22" i="51" s="1"/>
  <c r="Z23" i="51" s="1"/>
  <c r="Z24" i="51" s="1"/>
  <c r="Z25" i="51" s="1"/>
  <c r="Z26" i="51" s="1"/>
  <c r="Z27" i="51" s="1"/>
  <c r="Z28" i="51" s="1"/>
  <c r="Z29" i="51" s="1"/>
  <c r="Z30" i="51" s="1"/>
  <c r="Z31" i="51" s="1"/>
  <c r="Z32" i="51" s="1"/>
  <c r="V2" i="51"/>
  <c r="N2" i="51"/>
  <c r="J2" i="51"/>
  <c r="J3" i="51" s="1"/>
  <c r="J4" i="51" s="1"/>
  <c r="J5" i="51" s="1"/>
  <c r="J6" i="51" s="1"/>
  <c r="F2" i="51"/>
  <c r="F3" i="51" s="1"/>
  <c r="F4" i="51" s="1"/>
  <c r="F5" i="51" s="1"/>
  <c r="F6" i="51" s="1"/>
  <c r="F7" i="51" s="1"/>
  <c r="F8" i="51" s="1"/>
  <c r="F9" i="51" s="1"/>
  <c r="F10" i="51" s="1"/>
  <c r="F11" i="51" s="1"/>
  <c r="F12" i="51" s="1"/>
  <c r="F13" i="51" s="1"/>
  <c r="F14" i="51" s="1"/>
  <c r="F15" i="51" s="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P40" i="50" l="1"/>
  <c r="W35" i="50"/>
  <c r="AA35" i="50" s="1"/>
  <c r="AE35" i="50" s="1"/>
  <c r="AI35" i="50" s="1"/>
  <c r="AM35" i="50" s="1"/>
  <c r="AQ35" i="50" s="1"/>
  <c r="AV33" i="50"/>
  <c r="AU33" i="50"/>
  <c r="AR33" i="50"/>
  <c r="AQ33" i="50"/>
  <c r="AN33" i="50"/>
  <c r="AM33" i="50"/>
  <c r="AJ33" i="50"/>
  <c r="AI33" i="50"/>
  <c r="AF33" i="50"/>
  <c r="AE33" i="50"/>
  <c r="AB33" i="50"/>
  <c r="AA33" i="50"/>
  <c r="X33" i="50"/>
  <c r="W33" i="50"/>
  <c r="T33" i="50"/>
  <c r="S33" i="50"/>
  <c r="P33" i="50"/>
  <c r="O33" i="50"/>
  <c r="L33" i="50"/>
  <c r="K33" i="50"/>
  <c r="H33" i="50"/>
  <c r="G33" i="50"/>
  <c r="AT8" i="50"/>
  <c r="AT9" i="50" s="1"/>
  <c r="AT10" i="50" s="1"/>
  <c r="AT11" i="50" s="1"/>
  <c r="AT12" i="50" s="1"/>
  <c r="AT13" i="50" s="1"/>
  <c r="AT14" i="50" s="1"/>
  <c r="AT15" i="50" s="1"/>
  <c r="AT16" i="50" s="1"/>
  <c r="AT17" i="50" s="1"/>
  <c r="AT18" i="50" s="1"/>
  <c r="AT19" i="50" s="1"/>
  <c r="AT20" i="50" s="1"/>
  <c r="AT21" i="50" s="1"/>
  <c r="AT22" i="50" s="1"/>
  <c r="AT23" i="50" s="1"/>
  <c r="AT24" i="50" s="1"/>
  <c r="AT25" i="50" s="1"/>
  <c r="AT26" i="50" s="1"/>
  <c r="AT27" i="50" s="1"/>
  <c r="AT28" i="50" s="1"/>
  <c r="AT29" i="50" s="1"/>
  <c r="AT30" i="50" s="1"/>
  <c r="AT31" i="50" s="1"/>
  <c r="AT32" i="50" s="1"/>
  <c r="AP8" i="50"/>
  <c r="AP9" i="50" s="1"/>
  <c r="AP10" i="50" s="1"/>
  <c r="AP11" i="50" s="1"/>
  <c r="AP12" i="50" s="1"/>
  <c r="AP13" i="50" s="1"/>
  <c r="AP14" i="50" s="1"/>
  <c r="AP15" i="50" s="1"/>
  <c r="AP16" i="50" s="1"/>
  <c r="AP17" i="50" s="1"/>
  <c r="AP18" i="50" s="1"/>
  <c r="AP19" i="50" s="1"/>
  <c r="AP20" i="50" s="1"/>
  <c r="AP21" i="50" s="1"/>
  <c r="AP22" i="50" s="1"/>
  <c r="AP23" i="50" s="1"/>
  <c r="AP24" i="50" s="1"/>
  <c r="AP25" i="50" s="1"/>
  <c r="AP26" i="50" s="1"/>
  <c r="AP27" i="50" s="1"/>
  <c r="AP28" i="50" s="1"/>
  <c r="AP29" i="50" s="1"/>
  <c r="AP30" i="50" s="1"/>
  <c r="AP31" i="50" s="1"/>
  <c r="AL8" i="50"/>
  <c r="AL9" i="50" s="1"/>
  <c r="AL10" i="50" s="1"/>
  <c r="AL11" i="50" s="1"/>
  <c r="AL12" i="50" s="1"/>
  <c r="AL13" i="50" s="1"/>
  <c r="AL14" i="50" s="1"/>
  <c r="AL15" i="50" s="1"/>
  <c r="AL16" i="50" s="1"/>
  <c r="AL17" i="50" s="1"/>
  <c r="AL18" i="50" s="1"/>
  <c r="AL19" i="50" s="1"/>
  <c r="AL20" i="50" s="1"/>
  <c r="AL21" i="50" s="1"/>
  <c r="AL22" i="50" s="1"/>
  <c r="AL23" i="50" s="1"/>
  <c r="AL24" i="50" s="1"/>
  <c r="AL25" i="50" s="1"/>
  <c r="AL26" i="50" s="1"/>
  <c r="AL27" i="50" s="1"/>
  <c r="AL28" i="50" s="1"/>
  <c r="AL29" i="50" s="1"/>
  <c r="AL30" i="50" s="1"/>
  <c r="AL31" i="50" s="1"/>
  <c r="AL32" i="50" s="1"/>
  <c r="AD8" i="50"/>
  <c r="AD9" i="50" s="1"/>
  <c r="AD10" i="50" s="1"/>
  <c r="AD11" i="50" s="1"/>
  <c r="AD12" i="50" s="1"/>
  <c r="AD13" i="50" s="1"/>
  <c r="AD14" i="50" s="1"/>
  <c r="AD15" i="50" s="1"/>
  <c r="AD16" i="50" s="1"/>
  <c r="AD17" i="50" s="1"/>
  <c r="AD18" i="50" s="1"/>
  <c r="AD19" i="50" s="1"/>
  <c r="AD20" i="50" s="1"/>
  <c r="AD21" i="50" s="1"/>
  <c r="AD22" i="50" s="1"/>
  <c r="AD23" i="50" s="1"/>
  <c r="AD24" i="50" s="1"/>
  <c r="AD25" i="50" s="1"/>
  <c r="AD26" i="50" s="1"/>
  <c r="AD27" i="50" s="1"/>
  <c r="AD28" i="50" s="1"/>
  <c r="AD29" i="50" s="1"/>
  <c r="AD30" i="50" s="1"/>
  <c r="AD31" i="50" s="1"/>
  <c r="AD32" i="50" s="1"/>
  <c r="V8" i="50"/>
  <c r="V9" i="50" s="1"/>
  <c r="V10" i="50" s="1"/>
  <c r="V11" i="50" s="1"/>
  <c r="V12" i="50" s="1"/>
  <c r="V13" i="50" s="1"/>
  <c r="V14" i="50" s="1"/>
  <c r="V15" i="50" s="1"/>
  <c r="V16" i="50" s="1"/>
  <c r="V17" i="50" s="1"/>
  <c r="V18" i="50" s="1"/>
  <c r="V19" i="50" s="1"/>
  <c r="V20" i="50" s="1"/>
  <c r="V21" i="50" s="1"/>
  <c r="V22" i="50" s="1"/>
  <c r="V23" i="50" s="1"/>
  <c r="V24" i="50" s="1"/>
  <c r="V25" i="50" s="1"/>
  <c r="V26" i="50" s="1"/>
  <c r="V27" i="50" s="1"/>
  <c r="V28" i="50" s="1"/>
  <c r="V29" i="50" s="1"/>
  <c r="V30" i="50" s="1"/>
  <c r="V31" i="50" s="1"/>
  <c r="R8" i="50"/>
  <c r="R9" i="50" s="1"/>
  <c r="R10" i="50" s="1"/>
  <c r="R11" i="50" s="1"/>
  <c r="R12" i="50" s="1"/>
  <c r="R13" i="50" s="1"/>
  <c r="R14" i="50" s="1"/>
  <c r="R15" i="50" s="1"/>
  <c r="R16" i="50" s="1"/>
  <c r="R17" i="50" s="1"/>
  <c r="R18" i="50" s="1"/>
  <c r="R19" i="50" s="1"/>
  <c r="R20" i="50" s="1"/>
  <c r="R21" i="50" s="1"/>
  <c r="R22" i="50" s="1"/>
  <c r="R23" i="50" s="1"/>
  <c r="R24" i="50" s="1"/>
  <c r="R25" i="50" s="1"/>
  <c r="R26" i="50" s="1"/>
  <c r="R27" i="50" s="1"/>
  <c r="R28" i="50" s="1"/>
  <c r="R29" i="50" s="1"/>
  <c r="R30" i="50" s="1"/>
  <c r="R31" i="50" s="1"/>
  <c r="R32" i="50" s="1"/>
  <c r="N8" i="50"/>
  <c r="N9" i="50" s="1"/>
  <c r="N10" i="50" s="1"/>
  <c r="N11" i="50" s="1"/>
  <c r="N12" i="50" s="1"/>
  <c r="N13" i="50" s="1"/>
  <c r="N14" i="50" s="1"/>
  <c r="N15" i="50" s="1"/>
  <c r="N16" i="50" s="1"/>
  <c r="N17" i="50" s="1"/>
  <c r="N18" i="50" s="1"/>
  <c r="N19" i="50" s="1"/>
  <c r="N20" i="50" s="1"/>
  <c r="N21" i="50" s="1"/>
  <c r="N22" i="50" s="1"/>
  <c r="N23" i="50" s="1"/>
  <c r="N24" i="50" s="1"/>
  <c r="N25" i="50" s="1"/>
  <c r="N26" i="50" s="1"/>
  <c r="N27" i="50" s="1"/>
  <c r="N28" i="50" s="1"/>
  <c r="N29" i="50" s="1"/>
  <c r="N30" i="50" s="1"/>
  <c r="N31" i="50" s="1"/>
  <c r="N32" i="50" s="1"/>
  <c r="J8" i="50"/>
  <c r="J9" i="50" s="1"/>
  <c r="J10" i="50" s="1"/>
  <c r="J11" i="50" s="1"/>
  <c r="J12" i="50" s="1"/>
  <c r="J13" i="50" s="1"/>
  <c r="J14" i="50" s="1"/>
  <c r="J15" i="50" s="1"/>
  <c r="J16" i="50" s="1"/>
  <c r="J17" i="50" s="1"/>
  <c r="J18" i="50" s="1"/>
  <c r="J19" i="50" s="1"/>
  <c r="J20" i="50" s="1"/>
  <c r="J21" i="50" s="1"/>
  <c r="J22" i="50" s="1"/>
  <c r="J23" i="50" s="1"/>
  <c r="J24" i="50" s="1"/>
  <c r="J25" i="50" s="1"/>
  <c r="J26" i="50" s="1"/>
  <c r="J27" i="50" s="1"/>
  <c r="J28" i="50" s="1"/>
  <c r="J29" i="50" s="1"/>
  <c r="J30" i="50" s="1"/>
  <c r="J31" i="50" s="1"/>
  <c r="J32" i="50" s="1"/>
  <c r="R4" i="50"/>
  <c r="R5" i="50" s="1"/>
  <c r="R6" i="50" s="1"/>
  <c r="AH3" i="50"/>
  <c r="AH4" i="50" s="1"/>
  <c r="AH5" i="50" s="1"/>
  <c r="AH6" i="50" s="1"/>
  <c r="AH7" i="50" s="1"/>
  <c r="AH8" i="50" s="1"/>
  <c r="AH9" i="50" s="1"/>
  <c r="AH10" i="50" s="1"/>
  <c r="AH11" i="50" s="1"/>
  <c r="AH12" i="50" s="1"/>
  <c r="AH13" i="50" s="1"/>
  <c r="AH14" i="50" s="1"/>
  <c r="AH15" i="50" s="1"/>
  <c r="AH16" i="50" s="1"/>
  <c r="AH17" i="50" s="1"/>
  <c r="AH18" i="50" s="1"/>
  <c r="AH19" i="50" s="1"/>
  <c r="AH20" i="50" s="1"/>
  <c r="AH21" i="50" s="1"/>
  <c r="AH22" i="50" s="1"/>
  <c r="AH23" i="50" s="1"/>
  <c r="AH24" i="50" s="1"/>
  <c r="AH25" i="50" s="1"/>
  <c r="AH26" i="50" s="1"/>
  <c r="AH27" i="50" s="1"/>
  <c r="AH28" i="50" s="1"/>
  <c r="AH29" i="50" s="1"/>
  <c r="AH30" i="50" s="1"/>
  <c r="AH31" i="50" s="1"/>
  <c r="AD3" i="50"/>
  <c r="AD4" i="50" s="1"/>
  <c r="AD5" i="50" s="1"/>
  <c r="AD6" i="50" s="1"/>
  <c r="V3" i="50"/>
  <c r="V4" i="50" s="1"/>
  <c r="V5" i="50" s="1"/>
  <c r="V6" i="50" s="1"/>
  <c r="R3" i="50"/>
  <c r="B3" i="50"/>
  <c r="B4" i="50" s="1"/>
  <c r="B5" i="50" s="1"/>
  <c r="B6" i="50" s="1"/>
  <c r="B7" i="50" s="1"/>
  <c r="B8" i="50" s="1"/>
  <c r="B9" i="50" s="1"/>
  <c r="B10" i="50" s="1"/>
  <c r="B11" i="50" s="1"/>
  <c r="B12" i="50" s="1"/>
  <c r="B13" i="50" s="1"/>
  <c r="B14" i="50" s="1"/>
  <c r="B15" i="50" s="1"/>
  <c r="B16" i="50" s="1"/>
  <c r="B17" i="50" s="1"/>
  <c r="B18" i="50" s="1"/>
  <c r="B19" i="50" s="1"/>
  <c r="B20" i="50" s="1"/>
  <c r="B21" i="50" s="1"/>
  <c r="B22" i="50" s="1"/>
  <c r="B23" i="50" s="1"/>
  <c r="B24" i="50" s="1"/>
  <c r="B25" i="50" s="1"/>
  <c r="B26" i="50" s="1"/>
  <c r="B27" i="50" s="1"/>
  <c r="B28" i="50" s="1"/>
  <c r="B29" i="50" s="1"/>
  <c r="B30" i="50" s="1"/>
  <c r="B31" i="50" s="1"/>
  <c r="B32" i="50" s="1"/>
  <c r="AT2" i="50"/>
  <c r="AT3" i="50" s="1"/>
  <c r="AT4" i="50" s="1"/>
  <c r="AT5" i="50" s="1"/>
  <c r="AT6" i="50" s="1"/>
  <c r="AP2" i="50"/>
  <c r="AP3" i="50" s="1"/>
  <c r="AP4" i="50" s="1"/>
  <c r="AP5" i="50" s="1"/>
  <c r="AP6" i="50" s="1"/>
  <c r="AL2" i="50"/>
  <c r="AL3" i="50" s="1"/>
  <c r="AL4" i="50" s="1"/>
  <c r="AL5" i="50" s="1"/>
  <c r="AL6" i="50" s="1"/>
  <c r="AH2" i="50"/>
  <c r="AD2" i="50"/>
  <c r="Z2" i="50"/>
  <c r="Z3" i="50" s="1"/>
  <c r="Z4" i="50" s="1"/>
  <c r="Z5" i="50" s="1"/>
  <c r="Z6" i="50" s="1"/>
  <c r="Z7" i="50" s="1"/>
  <c r="Z8" i="50" s="1"/>
  <c r="Z9" i="50" s="1"/>
  <c r="Z10" i="50" s="1"/>
  <c r="Z11" i="50" s="1"/>
  <c r="Z12" i="50" s="1"/>
  <c r="Z13" i="50" s="1"/>
  <c r="Z14" i="50" s="1"/>
  <c r="Z15" i="50" s="1"/>
  <c r="Z16" i="50" s="1"/>
  <c r="Z17" i="50" s="1"/>
  <c r="Z18" i="50" s="1"/>
  <c r="Z19" i="50" s="1"/>
  <c r="Z20" i="50" s="1"/>
  <c r="Z21" i="50" s="1"/>
  <c r="Z22" i="50" s="1"/>
  <c r="Z23" i="50" s="1"/>
  <c r="Z24" i="50" s="1"/>
  <c r="Z25" i="50" s="1"/>
  <c r="Z26" i="50" s="1"/>
  <c r="Z27" i="50" s="1"/>
  <c r="Z28" i="50" s="1"/>
  <c r="Z29" i="50" s="1"/>
  <c r="Z30" i="50" s="1"/>
  <c r="Z31" i="50" s="1"/>
  <c r="Z32" i="50" s="1"/>
  <c r="V2" i="50"/>
  <c r="N2" i="50"/>
  <c r="N3" i="50" s="1"/>
  <c r="N4" i="50" s="1"/>
  <c r="N5" i="50" s="1"/>
  <c r="N6" i="50" s="1"/>
  <c r="J2" i="50"/>
  <c r="J3" i="50" s="1"/>
  <c r="J4" i="50" s="1"/>
  <c r="J5" i="50" s="1"/>
  <c r="J6" i="50" s="1"/>
  <c r="F2" i="50"/>
  <c r="F3" i="50" s="1"/>
  <c r="F4" i="50" s="1"/>
  <c r="F5" i="50" s="1"/>
  <c r="F6" i="50" s="1"/>
  <c r="F7" i="50" s="1"/>
  <c r="F8" i="50" s="1"/>
  <c r="F9" i="50" s="1"/>
  <c r="F10" i="50" s="1"/>
  <c r="F11" i="50" s="1"/>
  <c r="F12" i="50" s="1"/>
  <c r="F13" i="50" s="1"/>
  <c r="F14" i="50" s="1"/>
  <c r="F15" i="50" s="1"/>
  <c r="F16" i="50" s="1"/>
  <c r="F17" i="50" s="1"/>
  <c r="F18" i="50" s="1"/>
  <c r="F19" i="50" s="1"/>
  <c r="F20" i="50" s="1"/>
  <c r="F21" i="50" s="1"/>
  <c r="F22" i="50" s="1"/>
  <c r="F23" i="50" s="1"/>
  <c r="F24" i="50" s="1"/>
  <c r="F25" i="50" s="1"/>
  <c r="F26" i="50" s="1"/>
  <c r="F27" i="50" s="1"/>
  <c r="F28" i="50" s="1"/>
  <c r="F29" i="50" s="1"/>
  <c r="AQ35" i="45"/>
  <c r="AM35" i="45"/>
  <c r="AI35" i="45"/>
  <c r="AE35" i="45"/>
  <c r="AA35" i="45"/>
  <c r="W35" i="45"/>
  <c r="AV33" i="45"/>
  <c r="AU33" i="45"/>
  <c r="AR33" i="45"/>
  <c r="AQ33" i="45"/>
  <c r="AN33" i="45"/>
  <c r="AM33" i="45"/>
  <c r="AJ33" i="45"/>
  <c r="AI33" i="45"/>
  <c r="AF33" i="45"/>
  <c r="AE33" i="45"/>
  <c r="AB33" i="45"/>
  <c r="AA33" i="45"/>
  <c r="X33" i="45"/>
  <c r="W33" i="45"/>
  <c r="T33" i="45"/>
  <c r="S33" i="45"/>
  <c r="P33" i="45"/>
  <c r="O33" i="45"/>
  <c r="L33" i="45"/>
  <c r="K33" i="45"/>
  <c r="H33" i="45"/>
  <c r="G33" i="45"/>
  <c r="AT32" i="45"/>
  <c r="AL32" i="45"/>
  <c r="AD32" i="45"/>
  <c r="Z32" i="45"/>
  <c r="R32" i="45"/>
  <c r="N32" i="45"/>
  <c r="J32" i="45"/>
  <c r="B32" i="45"/>
  <c r="AT31" i="45"/>
  <c r="AP31" i="45"/>
  <c r="AL31" i="45"/>
  <c r="AH31" i="45"/>
  <c r="AD31" i="45"/>
  <c r="Z31" i="45"/>
  <c r="V31" i="45"/>
  <c r="R31" i="45"/>
  <c r="N31" i="45"/>
  <c r="J31" i="45"/>
  <c r="B31" i="45"/>
  <c r="AT30" i="45"/>
  <c r="AP30" i="45"/>
  <c r="AL30" i="45"/>
  <c r="AH30" i="45"/>
  <c r="AD30" i="45"/>
  <c r="Z30" i="45"/>
  <c r="V30" i="45"/>
  <c r="R30" i="45"/>
  <c r="N30" i="45"/>
  <c r="J30" i="45"/>
  <c r="B30" i="45"/>
  <c r="AT29" i="45"/>
  <c r="AP29" i="45"/>
  <c r="AL29" i="45"/>
  <c r="AH29" i="45"/>
  <c r="AD29" i="45"/>
  <c r="Z29" i="45"/>
  <c r="V29" i="45"/>
  <c r="R29" i="45"/>
  <c r="N29" i="45"/>
  <c r="J29" i="45"/>
  <c r="F29" i="45"/>
  <c r="B29" i="45"/>
  <c r="AT28" i="45"/>
  <c r="AP28" i="45"/>
  <c r="AL28" i="45"/>
  <c r="AH28" i="45"/>
  <c r="AD28" i="45"/>
  <c r="Z28" i="45"/>
  <c r="V28" i="45"/>
  <c r="R28" i="45"/>
  <c r="N28" i="45"/>
  <c r="J28" i="45"/>
  <c r="F28" i="45"/>
  <c r="B28" i="45"/>
  <c r="AT27" i="45"/>
  <c r="AP27" i="45"/>
  <c r="AL27" i="45"/>
  <c r="AH27" i="45"/>
  <c r="AD27" i="45"/>
  <c r="Z27" i="45"/>
  <c r="V27" i="45"/>
  <c r="R27" i="45"/>
  <c r="N27" i="45"/>
  <c r="J27" i="45"/>
  <c r="F27" i="45"/>
  <c r="B27" i="45"/>
  <c r="AT26" i="45"/>
  <c r="AP26" i="45"/>
  <c r="AL26" i="45"/>
  <c r="AH26" i="45"/>
  <c r="AD26" i="45"/>
  <c r="Z26" i="45"/>
  <c r="V26" i="45"/>
  <c r="R26" i="45"/>
  <c r="N26" i="45"/>
  <c r="J26" i="45"/>
  <c r="F26" i="45"/>
  <c r="B26" i="45"/>
  <c r="AT25" i="45"/>
  <c r="AP25" i="45"/>
  <c r="AL25" i="45"/>
  <c r="AH25" i="45"/>
  <c r="AD25" i="45"/>
  <c r="Z25" i="45"/>
  <c r="V25" i="45"/>
  <c r="R25" i="45"/>
  <c r="N25" i="45"/>
  <c r="J25" i="45"/>
  <c r="F25" i="45"/>
  <c r="B25" i="45"/>
  <c r="AT24" i="45"/>
  <c r="AP24" i="45"/>
  <c r="AL24" i="45"/>
  <c r="AH24" i="45"/>
  <c r="AD24" i="45"/>
  <c r="Z24" i="45"/>
  <c r="V24" i="45"/>
  <c r="R24" i="45"/>
  <c r="N24" i="45"/>
  <c r="J24" i="45"/>
  <c r="F24" i="45"/>
  <c r="B24" i="45"/>
  <c r="AT23" i="45"/>
  <c r="AP23" i="45"/>
  <c r="AL23" i="45"/>
  <c r="AH23" i="45"/>
  <c r="AD23" i="45"/>
  <c r="Z23" i="45"/>
  <c r="V23" i="45"/>
  <c r="R23" i="45"/>
  <c r="N23" i="45"/>
  <c r="J23" i="45"/>
  <c r="F23" i="45"/>
  <c r="B23" i="45"/>
  <c r="AT22" i="45"/>
  <c r="AP22" i="45"/>
  <c r="AL22" i="45"/>
  <c r="AH22" i="45"/>
  <c r="AD22" i="45"/>
  <c r="Z22" i="45"/>
  <c r="V22" i="45"/>
  <c r="R22" i="45"/>
  <c r="N22" i="45"/>
  <c r="J22" i="45"/>
  <c r="F22" i="45"/>
  <c r="B22" i="45"/>
  <c r="AT21" i="45"/>
  <c r="AP21" i="45"/>
  <c r="AL21" i="45"/>
  <c r="AH21" i="45"/>
  <c r="AD21" i="45"/>
  <c r="Z21" i="45"/>
  <c r="V21" i="45"/>
  <c r="R21" i="45"/>
  <c r="N21" i="45"/>
  <c r="J21" i="45"/>
  <c r="F21" i="45"/>
  <c r="B21" i="45"/>
  <c r="AT20" i="45"/>
  <c r="AP20" i="45"/>
  <c r="AL20" i="45"/>
  <c r="AH20" i="45"/>
  <c r="AD20" i="45"/>
  <c r="Z20" i="45"/>
  <c r="V20" i="45"/>
  <c r="R20" i="45"/>
  <c r="N20" i="45"/>
  <c r="J20" i="45"/>
  <c r="F20" i="45"/>
  <c r="B20" i="45"/>
  <c r="AT19" i="45"/>
  <c r="AP19" i="45"/>
  <c r="AL19" i="45"/>
  <c r="AH19" i="45"/>
  <c r="AD19" i="45"/>
  <c r="Z19" i="45"/>
  <c r="V19" i="45"/>
  <c r="R19" i="45"/>
  <c r="N19" i="45"/>
  <c r="J19" i="45"/>
  <c r="F19" i="45"/>
  <c r="B19" i="45"/>
  <c r="AT18" i="45"/>
  <c r="AP18" i="45"/>
  <c r="AL18" i="45"/>
  <c r="AH18" i="45"/>
  <c r="AD18" i="45"/>
  <c r="Z18" i="45"/>
  <c r="V18" i="45"/>
  <c r="R18" i="45"/>
  <c r="N18" i="45"/>
  <c r="J18" i="45"/>
  <c r="F18" i="45"/>
  <c r="B18" i="45"/>
  <c r="AT17" i="45"/>
  <c r="AP17" i="45"/>
  <c r="AL17" i="45"/>
  <c r="AH17" i="45"/>
  <c r="AD17" i="45"/>
  <c r="Z17" i="45"/>
  <c r="V17" i="45"/>
  <c r="R17" i="45"/>
  <c r="N17" i="45"/>
  <c r="J17" i="45"/>
  <c r="F17" i="45"/>
  <c r="B17" i="45"/>
  <c r="AT16" i="45"/>
  <c r="AP16" i="45"/>
  <c r="AL16" i="45"/>
  <c r="AH16" i="45"/>
  <c r="AD16" i="45"/>
  <c r="Z16" i="45"/>
  <c r="V16" i="45"/>
  <c r="R16" i="45"/>
  <c r="N16" i="45"/>
  <c r="J16" i="45"/>
  <c r="F16" i="45"/>
  <c r="B16" i="45"/>
  <c r="AT15" i="45"/>
  <c r="AP15" i="45"/>
  <c r="AL15" i="45"/>
  <c r="AH15" i="45"/>
  <c r="AD15" i="45"/>
  <c r="Z15" i="45"/>
  <c r="V15" i="45"/>
  <c r="R15" i="45"/>
  <c r="N15" i="45"/>
  <c r="J15" i="45"/>
  <c r="F15" i="45"/>
  <c r="B15" i="45"/>
  <c r="AT14" i="45"/>
  <c r="AP14" i="45"/>
  <c r="AL14" i="45"/>
  <c r="AH14" i="45"/>
  <c r="AD14" i="45"/>
  <c r="Z14" i="45"/>
  <c r="V14" i="45"/>
  <c r="R14" i="45"/>
  <c r="N14" i="45"/>
  <c r="J14" i="45"/>
  <c r="F14" i="45"/>
  <c r="B14" i="45"/>
  <c r="AT13" i="45"/>
  <c r="AP13" i="45"/>
  <c r="AL13" i="45"/>
  <c r="AH13" i="45"/>
  <c r="AD13" i="45"/>
  <c r="Z13" i="45"/>
  <c r="V13" i="45"/>
  <c r="R13" i="45"/>
  <c r="N13" i="45"/>
  <c r="J13" i="45"/>
  <c r="F13" i="45"/>
  <c r="B13" i="45"/>
  <c r="AT12" i="45"/>
  <c r="AP12" i="45"/>
  <c r="AL12" i="45"/>
  <c r="AH12" i="45"/>
  <c r="AD12" i="45"/>
  <c r="Z12" i="45"/>
  <c r="V12" i="45"/>
  <c r="R12" i="45"/>
  <c r="N12" i="45"/>
  <c r="J12" i="45"/>
  <c r="F12" i="45"/>
  <c r="B12" i="45"/>
  <c r="AT11" i="45"/>
  <c r="AP11" i="45"/>
  <c r="AL11" i="45"/>
  <c r="AH11" i="45"/>
  <c r="AD11" i="45"/>
  <c r="Z11" i="45"/>
  <c r="V11" i="45"/>
  <c r="R11" i="45"/>
  <c r="N11" i="45"/>
  <c r="J11" i="45"/>
  <c r="F11" i="45"/>
  <c r="B11" i="45"/>
  <c r="AT10" i="45"/>
  <c r="AP10" i="45"/>
  <c r="AL10" i="45"/>
  <c r="AH10" i="45"/>
  <c r="AD10" i="45"/>
  <c r="Z10" i="45"/>
  <c r="V10" i="45"/>
  <c r="R10" i="45"/>
  <c r="N10" i="45"/>
  <c r="J10" i="45"/>
  <c r="F10" i="45"/>
  <c r="B10" i="45"/>
  <c r="AT9" i="45"/>
  <c r="AP9" i="45"/>
  <c r="AL9" i="45"/>
  <c r="AH9" i="45"/>
  <c r="AD9" i="45"/>
  <c r="Z9" i="45"/>
  <c r="V9" i="45"/>
  <c r="R9" i="45"/>
  <c r="N9" i="45"/>
  <c r="J9" i="45"/>
  <c r="F9" i="45"/>
  <c r="B9" i="45"/>
  <c r="AT8" i="45"/>
  <c r="AP8" i="45"/>
  <c r="AL8" i="45"/>
  <c r="AH8" i="45"/>
  <c r="AD8" i="45"/>
  <c r="Z8" i="45"/>
  <c r="V8" i="45"/>
  <c r="R8" i="45"/>
  <c r="N8" i="45"/>
  <c r="J8" i="45"/>
  <c r="F8" i="45"/>
  <c r="B8" i="45"/>
  <c r="AH7" i="45"/>
  <c r="Z7" i="45"/>
  <c r="F7" i="45"/>
  <c r="B7" i="45"/>
  <c r="AT6" i="45"/>
  <c r="AP6" i="45"/>
  <c r="AL6" i="45"/>
  <c r="AH6" i="45"/>
  <c r="AD6" i="45"/>
  <c r="Z6" i="45"/>
  <c r="V6" i="45"/>
  <c r="R6" i="45"/>
  <c r="N6" i="45"/>
  <c r="J6" i="45"/>
  <c r="F6" i="45"/>
  <c r="B6" i="45"/>
  <c r="AT5" i="45"/>
  <c r="AP5" i="45"/>
  <c r="AL5" i="45"/>
  <c r="AH5" i="45"/>
  <c r="AD5" i="45"/>
  <c r="Z5" i="45"/>
  <c r="V5" i="45"/>
  <c r="R5" i="45"/>
  <c r="N5" i="45"/>
  <c r="J5" i="45"/>
  <c r="F5" i="45"/>
  <c r="B5" i="45"/>
  <c r="AT4" i="45"/>
  <c r="AP4" i="45"/>
  <c r="AL4" i="45"/>
  <c r="AH4" i="45"/>
  <c r="AD4" i="45"/>
  <c r="Z4" i="45"/>
  <c r="V4" i="45"/>
  <c r="R4" i="45"/>
  <c r="N4" i="45"/>
  <c r="J4" i="45"/>
  <c r="F4" i="45"/>
  <c r="B4" i="45"/>
  <c r="AT3" i="45"/>
  <c r="AP3" i="45"/>
  <c r="AL3" i="45"/>
  <c r="AH3" i="45"/>
  <c r="AD3" i="45"/>
  <c r="Z3" i="45"/>
  <c r="V3" i="45"/>
  <c r="R3" i="45"/>
  <c r="N3" i="45"/>
  <c r="J3" i="45"/>
  <c r="F3" i="45"/>
  <c r="B3" i="45"/>
  <c r="AT2" i="45"/>
  <c r="AP2" i="45"/>
  <c r="AL2" i="45"/>
  <c r="AH2" i="45"/>
  <c r="AD2" i="45"/>
  <c r="Z2" i="45"/>
  <c r="V2" i="45"/>
  <c r="N2" i="45"/>
  <c r="J2" i="45"/>
  <c r="F2" i="45"/>
  <c r="AQ35" i="48"/>
  <c r="AM35" i="48"/>
  <c r="AI35" i="48"/>
  <c r="AE35" i="48"/>
  <c r="AA35" i="48"/>
  <c r="W35" i="48"/>
  <c r="AV33" i="48"/>
  <c r="AU33" i="48"/>
  <c r="AR33" i="48"/>
  <c r="AQ33" i="48"/>
  <c r="AN33" i="48"/>
  <c r="AM33" i="48"/>
  <c r="AJ33" i="48"/>
  <c r="AI33" i="48"/>
  <c r="AF33" i="48"/>
  <c r="AE33" i="48"/>
  <c r="AB33" i="48"/>
  <c r="AA33" i="48"/>
  <c r="X33" i="48"/>
  <c r="W33" i="48"/>
  <c r="T33" i="48"/>
  <c r="S33" i="48"/>
  <c r="P33" i="48"/>
  <c r="O33" i="48"/>
  <c r="L33" i="48"/>
  <c r="K33" i="48"/>
  <c r="H33" i="48"/>
  <c r="G33" i="48"/>
  <c r="AT32" i="48"/>
  <c r="AL32" i="48"/>
  <c r="AD32" i="48"/>
  <c r="Z32" i="48"/>
  <c r="R32" i="48"/>
  <c r="N32" i="48"/>
  <c r="J32" i="48"/>
  <c r="B32" i="48"/>
  <c r="AT31" i="48"/>
  <c r="AP31" i="48"/>
  <c r="AL31" i="48"/>
  <c r="AH31" i="48"/>
  <c r="AD31" i="48"/>
  <c r="Z31" i="48"/>
  <c r="V31" i="48"/>
  <c r="R31" i="48"/>
  <c r="N31" i="48"/>
  <c r="J31" i="48"/>
  <c r="B31" i="48"/>
  <c r="AT30" i="48"/>
  <c r="AP30" i="48"/>
  <c r="AL30" i="48"/>
  <c r="AH30" i="48"/>
  <c r="AD30" i="48"/>
  <c r="Z30" i="48"/>
  <c r="V30" i="48"/>
  <c r="R30" i="48"/>
  <c r="N30" i="48"/>
  <c r="J30" i="48"/>
  <c r="B30" i="48"/>
  <c r="AT29" i="48"/>
  <c r="AP29" i="48"/>
  <c r="AL29" i="48"/>
  <c r="AH29" i="48"/>
  <c r="AD29" i="48"/>
  <c r="Z29" i="48"/>
  <c r="V29" i="48"/>
  <c r="R29" i="48"/>
  <c r="N29" i="48"/>
  <c r="J29" i="48"/>
  <c r="F29" i="48"/>
  <c r="B29" i="48"/>
  <c r="AT28" i="48"/>
  <c r="AP28" i="48"/>
  <c r="AL28" i="48"/>
  <c r="AH28" i="48"/>
  <c r="AD28" i="48"/>
  <c r="Z28" i="48"/>
  <c r="V28" i="48"/>
  <c r="R28" i="48"/>
  <c r="N28" i="48"/>
  <c r="J28" i="48"/>
  <c r="F28" i="48"/>
  <c r="B28" i="48"/>
  <c r="AT27" i="48"/>
  <c r="AP27" i="48"/>
  <c r="AL27" i="48"/>
  <c r="AH27" i="48"/>
  <c r="AD27" i="48"/>
  <c r="Z27" i="48"/>
  <c r="V27" i="48"/>
  <c r="R27" i="48"/>
  <c r="N27" i="48"/>
  <c r="J27" i="48"/>
  <c r="F27" i="48"/>
  <c r="B27" i="48"/>
  <c r="AT26" i="48"/>
  <c r="AP26" i="48"/>
  <c r="AL26" i="48"/>
  <c r="AH26" i="48"/>
  <c r="AD26" i="48"/>
  <c r="Z26" i="48"/>
  <c r="V26" i="48"/>
  <c r="R26" i="48"/>
  <c r="N26" i="48"/>
  <c r="J26" i="48"/>
  <c r="F26" i="48"/>
  <c r="B26" i="48"/>
  <c r="AT25" i="48"/>
  <c r="AP25" i="48"/>
  <c r="AL25" i="48"/>
  <c r="AH25" i="48"/>
  <c r="AD25" i="48"/>
  <c r="Z25" i="48"/>
  <c r="V25" i="48"/>
  <c r="R25" i="48"/>
  <c r="N25" i="48"/>
  <c r="J25" i="48"/>
  <c r="F25" i="48"/>
  <c r="B25" i="48"/>
  <c r="AT24" i="48"/>
  <c r="AP24" i="48"/>
  <c r="AL24" i="48"/>
  <c r="AH24" i="48"/>
  <c r="AD24" i="48"/>
  <c r="Z24" i="48"/>
  <c r="V24" i="48"/>
  <c r="R24" i="48"/>
  <c r="N24" i="48"/>
  <c r="J24" i="48"/>
  <c r="F24" i="48"/>
  <c r="B24" i="48"/>
  <c r="AT23" i="48"/>
  <c r="AP23" i="48"/>
  <c r="AL23" i="48"/>
  <c r="AH23" i="48"/>
  <c r="AD23" i="48"/>
  <c r="Z23" i="48"/>
  <c r="V23" i="48"/>
  <c r="R23" i="48"/>
  <c r="N23" i="48"/>
  <c r="J23" i="48"/>
  <c r="F23" i="48"/>
  <c r="B23" i="48"/>
  <c r="AT22" i="48"/>
  <c r="AP22" i="48"/>
  <c r="AL22" i="48"/>
  <c r="AH22" i="48"/>
  <c r="AD22" i="48"/>
  <c r="Z22" i="48"/>
  <c r="V22" i="48"/>
  <c r="R22" i="48"/>
  <c r="N22" i="48"/>
  <c r="J22" i="48"/>
  <c r="F22" i="48"/>
  <c r="B22" i="48"/>
  <c r="AT21" i="48"/>
  <c r="AP21" i="48"/>
  <c r="AL21" i="48"/>
  <c r="AH21" i="48"/>
  <c r="AD21" i="48"/>
  <c r="Z21" i="48"/>
  <c r="V21" i="48"/>
  <c r="R21" i="48"/>
  <c r="N21" i="48"/>
  <c r="J21" i="48"/>
  <c r="F21" i="48"/>
  <c r="B21" i="48"/>
  <c r="AT20" i="48"/>
  <c r="AP20" i="48"/>
  <c r="AL20" i="48"/>
  <c r="AH20" i="48"/>
  <c r="AD20" i="48"/>
  <c r="Z20" i="48"/>
  <c r="V20" i="48"/>
  <c r="R20" i="48"/>
  <c r="N20" i="48"/>
  <c r="J20" i="48"/>
  <c r="F20" i="48"/>
  <c r="B20" i="48"/>
  <c r="AT19" i="48"/>
  <c r="AP19" i="48"/>
  <c r="AL19" i="48"/>
  <c r="AH19" i="48"/>
  <c r="AD19" i="48"/>
  <c r="Z19" i="48"/>
  <c r="V19" i="48"/>
  <c r="R19" i="48"/>
  <c r="N19" i="48"/>
  <c r="J19" i="48"/>
  <c r="F19" i="48"/>
  <c r="B19" i="48"/>
  <c r="AT18" i="48"/>
  <c r="AP18" i="48"/>
  <c r="AL18" i="48"/>
  <c r="AH18" i="48"/>
  <c r="AD18" i="48"/>
  <c r="Z18" i="48"/>
  <c r="V18" i="48"/>
  <c r="R18" i="48"/>
  <c r="N18" i="48"/>
  <c r="J18" i="48"/>
  <c r="F18" i="48"/>
  <c r="B18" i="48"/>
  <c r="AT17" i="48"/>
  <c r="AP17" i="48"/>
  <c r="AL17" i="48"/>
  <c r="AH17" i="48"/>
  <c r="AD17" i="48"/>
  <c r="Z17" i="48"/>
  <c r="V17" i="48"/>
  <c r="R17" i="48"/>
  <c r="N17" i="48"/>
  <c r="J17" i="48"/>
  <c r="F17" i="48"/>
  <c r="B17" i="48"/>
  <c r="AT16" i="48"/>
  <c r="AP16" i="48"/>
  <c r="AL16" i="48"/>
  <c r="AH16" i="48"/>
  <c r="AD16" i="48"/>
  <c r="Z16" i="48"/>
  <c r="V16" i="48"/>
  <c r="R16" i="48"/>
  <c r="N16" i="48"/>
  <c r="J16" i="48"/>
  <c r="F16" i="48"/>
  <c r="B16" i="48"/>
  <c r="AT15" i="48"/>
  <c r="AP15" i="48"/>
  <c r="AL15" i="48"/>
  <c r="AH15" i="48"/>
  <c r="AD15" i="48"/>
  <c r="Z15" i="48"/>
  <c r="V15" i="48"/>
  <c r="R15" i="48"/>
  <c r="N15" i="48"/>
  <c r="J15" i="48"/>
  <c r="F15" i="48"/>
  <c r="B15" i="48"/>
  <c r="AT14" i="48"/>
  <c r="AP14" i="48"/>
  <c r="AL14" i="48"/>
  <c r="AH14" i="48"/>
  <c r="AD14" i="48"/>
  <c r="Z14" i="48"/>
  <c r="V14" i="48"/>
  <c r="R14" i="48"/>
  <c r="N14" i="48"/>
  <c r="J14" i="48"/>
  <c r="F14" i="48"/>
  <c r="B14" i="48"/>
  <c r="AT13" i="48"/>
  <c r="AP13" i="48"/>
  <c r="AL13" i="48"/>
  <c r="AH13" i="48"/>
  <c r="AD13" i="48"/>
  <c r="Z13" i="48"/>
  <c r="V13" i="48"/>
  <c r="R13" i="48"/>
  <c r="N13" i="48"/>
  <c r="J13" i="48"/>
  <c r="F13" i="48"/>
  <c r="B13" i="48"/>
  <c r="AT12" i="48"/>
  <c r="AP12" i="48"/>
  <c r="AL12" i="48"/>
  <c r="AH12" i="48"/>
  <c r="AD12" i="48"/>
  <c r="Z12" i="48"/>
  <c r="V12" i="48"/>
  <c r="R12" i="48"/>
  <c r="N12" i="48"/>
  <c r="J12" i="48"/>
  <c r="F12" i="48"/>
  <c r="B12" i="48"/>
  <c r="AT11" i="48"/>
  <c r="AP11" i="48"/>
  <c r="AL11" i="48"/>
  <c r="AH11" i="48"/>
  <c r="AD11" i="48"/>
  <c r="Z11" i="48"/>
  <c r="V11" i="48"/>
  <c r="R11" i="48"/>
  <c r="N11" i="48"/>
  <c r="J11" i="48"/>
  <c r="F11" i="48"/>
  <c r="B11" i="48"/>
  <c r="AT10" i="48"/>
  <c r="AP10" i="48"/>
  <c r="AL10" i="48"/>
  <c r="AH10" i="48"/>
  <c r="AD10" i="48"/>
  <c r="Z10" i="48"/>
  <c r="V10" i="48"/>
  <c r="R10" i="48"/>
  <c r="N10" i="48"/>
  <c r="J10" i="48"/>
  <c r="F10" i="48"/>
  <c r="B10" i="48"/>
  <c r="AT9" i="48"/>
  <c r="AP9" i="48"/>
  <c r="AL9" i="48"/>
  <c r="AH9" i="48"/>
  <c r="AD9" i="48"/>
  <c r="Z9" i="48"/>
  <c r="V9" i="48"/>
  <c r="R9" i="48"/>
  <c r="N9" i="48"/>
  <c r="J9" i="48"/>
  <c r="F9" i="48"/>
  <c r="B9" i="48"/>
  <c r="AT8" i="48"/>
  <c r="AP8" i="48"/>
  <c r="AL8" i="48"/>
  <c r="AH8" i="48"/>
  <c r="AD8" i="48"/>
  <c r="Z8" i="48"/>
  <c r="V8" i="48"/>
  <c r="R8" i="48"/>
  <c r="N8" i="48"/>
  <c r="J8" i="48"/>
  <c r="F8" i="48"/>
  <c r="B8" i="48"/>
  <c r="AH7" i="48"/>
  <c r="Z7" i="48"/>
  <c r="F7" i="48"/>
  <c r="B7" i="48"/>
  <c r="AT6" i="48"/>
  <c r="AP6" i="48"/>
  <c r="AL6" i="48"/>
  <c r="AH6" i="48"/>
  <c r="AD6" i="48"/>
  <c r="Z6" i="48"/>
  <c r="V6" i="48"/>
  <c r="R6" i="48"/>
  <c r="N6" i="48"/>
  <c r="J6" i="48"/>
  <c r="F6" i="48"/>
  <c r="B6" i="48"/>
  <c r="AT5" i="48"/>
  <c r="AP5" i="48"/>
  <c r="AL5" i="48"/>
  <c r="AH5" i="48"/>
  <c r="AD5" i="48"/>
  <c r="Z5" i="48"/>
  <c r="V5" i="48"/>
  <c r="R5" i="48"/>
  <c r="N5" i="48"/>
  <c r="J5" i="48"/>
  <c r="F5" i="48"/>
  <c r="B5" i="48"/>
  <c r="AT4" i="48"/>
  <c r="AP4" i="48"/>
  <c r="AL4" i="48"/>
  <c r="AH4" i="48"/>
  <c r="AD4" i="48"/>
  <c r="Z4" i="48"/>
  <c r="V4" i="48"/>
  <c r="R4" i="48"/>
  <c r="N4" i="48"/>
  <c r="J4" i="48"/>
  <c r="F4" i="48"/>
  <c r="B4" i="48"/>
  <c r="AT3" i="48"/>
  <c r="AP3" i="48"/>
  <c r="AL3" i="48"/>
  <c r="AH3" i="48"/>
  <c r="AD3" i="48"/>
  <c r="Z3" i="48"/>
  <c r="V3" i="48"/>
  <c r="R3" i="48"/>
  <c r="N3" i="48"/>
  <c r="J3" i="48"/>
  <c r="F3" i="48"/>
  <c r="B3" i="48"/>
  <c r="AT2" i="48"/>
  <c r="AP2" i="48"/>
  <c r="AL2" i="48"/>
  <c r="AH2" i="48"/>
  <c r="AD2" i="48"/>
  <c r="Z2" i="48"/>
  <c r="V2" i="48"/>
  <c r="N2" i="48"/>
  <c r="J2" i="48"/>
  <c r="F2" i="48"/>
  <c r="AQ35" i="44"/>
  <c r="AM35" i="44"/>
  <c r="AI35" i="44"/>
  <c r="AE35" i="44"/>
  <c r="AA35" i="44"/>
  <c r="W35" i="44"/>
  <c r="AV33" i="44"/>
  <c r="AU33" i="44"/>
  <c r="AR33" i="44"/>
  <c r="AQ33" i="44"/>
  <c r="AN33" i="44"/>
  <c r="AM33" i="44"/>
  <c r="AJ33" i="44"/>
  <c r="AI33" i="44"/>
  <c r="AF33" i="44"/>
  <c r="AE33" i="44"/>
  <c r="AB33" i="44"/>
  <c r="AA33" i="44"/>
  <c r="X33" i="44"/>
  <c r="W33" i="44"/>
  <c r="T33" i="44"/>
  <c r="S33" i="44"/>
  <c r="P33" i="44"/>
  <c r="O33" i="44"/>
  <c r="L33" i="44"/>
  <c r="K33" i="44"/>
  <c r="H33" i="44"/>
  <c r="G33" i="44"/>
  <c r="AT32" i="44"/>
  <c r="AL32" i="44"/>
  <c r="AD32" i="44"/>
  <c r="Z32" i="44"/>
  <c r="R32" i="44"/>
  <c r="J32" i="44"/>
  <c r="B32" i="44"/>
  <c r="AT31" i="44"/>
  <c r="AP31" i="44"/>
  <c r="AL31" i="44"/>
  <c r="AH31" i="44"/>
  <c r="AD31" i="44"/>
  <c r="Z31" i="44"/>
  <c r="V31" i="44"/>
  <c r="R31" i="44"/>
  <c r="N31" i="44"/>
  <c r="J31" i="44"/>
  <c r="B31" i="44"/>
  <c r="AT30" i="44"/>
  <c r="AP30" i="44"/>
  <c r="AL30" i="44"/>
  <c r="AH30" i="44"/>
  <c r="AD30" i="44"/>
  <c r="Z30" i="44"/>
  <c r="V30" i="44"/>
  <c r="R30" i="44"/>
  <c r="N30" i="44"/>
  <c r="J30" i="44"/>
  <c r="B30" i="44"/>
  <c r="AT29" i="44"/>
  <c r="AP29" i="44"/>
  <c r="AL29" i="44"/>
  <c r="AH29" i="44"/>
  <c r="AD29" i="44"/>
  <c r="Z29" i="44"/>
  <c r="V29" i="44"/>
  <c r="R29" i="44"/>
  <c r="N29" i="44"/>
  <c r="J29" i="44"/>
  <c r="F29" i="44"/>
  <c r="B29" i="44"/>
  <c r="AT28" i="44"/>
  <c r="AP28" i="44"/>
  <c r="AL28" i="44"/>
  <c r="AH28" i="44"/>
  <c r="AD28" i="44"/>
  <c r="Z28" i="44"/>
  <c r="V28" i="44"/>
  <c r="R28" i="44"/>
  <c r="N28" i="44"/>
  <c r="J28" i="44"/>
  <c r="F28" i="44"/>
  <c r="B28" i="44"/>
  <c r="AT27" i="44"/>
  <c r="AP27" i="44"/>
  <c r="AL27" i="44"/>
  <c r="AH27" i="44"/>
  <c r="AD27" i="44"/>
  <c r="Z27" i="44"/>
  <c r="V27" i="44"/>
  <c r="R27" i="44"/>
  <c r="N27" i="44"/>
  <c r="J27" i="44"/>
  <c r="F27" i="44"/>
  <c r="B27" i="44"/>
  <c r="AT26" i="44"/>
  <c r="AP26" i="44"/>
  <c r="AL26" i="44"/>
  <c r="AH26" i="44"/>
  <c r="AD26" i="44"/>
  <c r="Z26" i="44"/>
  <c r="V26" i="44"/>
  <c r="R26" i="44"/>
  <c r="N26" i="44"/>
  <c r="J26" i="44"/>
  <c r="F26" i="44"/>
  <c r="B26" i="44"/>
  <c r="AT25" i="44"/>
  <c r="AP25" i="44"/>
  <c r="AL25" i="44"/>
  <c r="AH25" i="44"/>
  <c r="AD25" i="44"/>
  <c r="Z25" i="44"/>
  <c r="V25" i="44"/>
  <c r="R25" i="44"/>
  <c r="N25" i="44"/>
  <c r="J25" i="44"/>
  <c r="F25" i="44"/>
  <c r="B25" i="44"/>
  <c r="AT24" i="44"/>
  <c r="AP24" i="44"/>
  <c r="AL24" i="44"/>
  <c r="AH24" i="44"/>
  <c r="AD24" i="44"/>
  <c r="Z24" i="44"/>
  <c r="V24" i="44"/>
  <c r="R24" i="44"/>
  <c r="N24" i="44"/>
  <c r="J24" i="44"/>
  <c r="F24" i="44"/>
  <c r="B24" i="44"/>
  <c r="AT23" i="44"/>
  <c r="AP23" i="44"/>
  <c r="AL23" i="44"/>
  <c r="AH23" i="44"/>
  <c r="AD23" i="44"/>
  <c r="Z23" i="44"/>
  <c r="V23" i="44"/>
  <c r="R23" i="44"/>
  <c r="N23" i="44"/>
  <c r="J23" i="44"/>
  <c r="F23" i="44"/>
  <c r="B23" i="44"/>
  <c r="AT22" i="44"/>
  <c r="AP22" i="44"/>
  <c r="AL22" i="44"/>
  <c r="AH22" i="44"/>
  <c r="AD22" i="44"/>
  <c r="Z22" i="44"/>
  <c r="V22" i="44"/>
  <c r="R22" i="44"/>
  <c r="N22" i="44"/>
  <c r="J22" i="44"/>
  <c r="F22" i="44"/>
  <c r="B22" i="44"/>
  <c r="AT21" i="44"/>
  <c r="AP21" i="44"/>
  <c r="AL21" i="44"/>
  <c r="AH21" i="44"/>
  <c r="AD21" i="44"/>
  <c r="Z21" i="44"/>
  <c r="V21" i="44"/>
  <c r="R21" i="44"/>
  <c r="N21" i="44"/>
  <c r="J21" i="44"/>
  <c r="F21" i="44"/>
  <c r="B21" i="44"/>
  <c r="AT20" i="44"/>
  <c r="AP20" i="44"/>
  <c r="AL20" i="44"/>
  <c r="AH20" i="44"/>
  <c r="AD20" i="44"/>
  <c r="Z20" i="44"/>
  <c r="V20" i="44"/>
  <c r="R20" i="44"/>
  <c r="N20" i="44"/>
  <c r="J20" i="44"/>
  <c r="F20" i="44"/>
  <c r="B20" i="44"/>
  <c r="AT19" i="44"/>
  <c r="AP19" i="44"/>
  <c r="AL19" i="44"/>
  <c r="AH19" i="44"/>
  <c r="AD19" i="44"/>
  <c r="Z19" i="44"/>
  <c r="V19" i="44"/>
  <c r="R19" i="44"/>
  <c r="N19" i="44"/>
  <c r="J19" i="44"/>
  <c r="F19" i="44"/>
  <c r="B19" i="44"/>
  <c r="AT18" i="44"/>
  <c r="AP18" i="44"/>
  <c r="AL18" i="44"/>
  <c r="AH18" i="44"/>
  <c r="AD18" i="44"/>
  <c r="Z18" i="44"/>
  <c r="V18" i="44"/>
  <c r="R18" i="44"/>
  <c r="N18" i="44"/>
  <c r="J18" i="44"/>
  <c r="F18" i="44"/>
  <c r="B18" i="44"/>
  <c r="AT17" i="44"/>
  <c r="AP17" i="44"/>
  <c r="AL17" i="44"/>
  <c r="AH17" i="44"/>
  <c r="AD17" i="44"/>
  <c r="Z17" i="44"/>
  <c r="V17" i="44"/>
  <c r="R17" i="44"/>
  <c r="N17" i="44"/>
  <c r="J17" i="44"/>
  <c r="F17" i="44"/>
  <c r="B17" i="44"/>
  <c r="AT16" i="44"/>
  <c r="AP16" i="44"/>
  <c r="AL16" i="44"/>
  <c r="AH16" i="44"/>
  <c r="AD16" i="44"/>
  <c r="Z16" i="44"/>
  <c r="V16" i="44"/>
  <c r="R16" i="44"/>
  <c r="N16" i="44"/>
  <c r="J16" i="44"/>
  <c r="F16" i="44"/>
  <c r="B16" i="44"/>
  <c r="AT15" i="44"/>
  <c r="AP15" i="44"/>
  <c r="AL15" i="44"/>
  <c r="AH15" i="44"/>
  <c r="AD15" i="44"/>
  <c r="Z15" i="44"/>
  <c r="V15" i="44"/>
  <c r="R15" i="44"/>
  <c r="N15" i="44"/>
  <c r="J15" i="44"/>
  <c r="F15" i="44"/>
  <c r="B15" i="44"/>
  <c r="AT14" i="44"/>
  <c r="AP14" i="44"/>
  <c r="AL14" i="44"/>
  <c r="AH14" i="44"/>
  <c r="AD14" i="44"/>
  <c r="Z14" i="44"/>
  <c r="V14" i="44"/>
  <c r="R14" i="44"/>
  <c r="N14" i="44"/>
  <c r="J14" i="44"/>
  <c r="F14" i="44"/>
  <c r="B14" i="44"/>
  <c r="AT13" i="44"/>
  <c r="AP13" i="44"/>
  <c r="AL13" i="44"/>
  <c r="AH13" i="44"/>
  <c r="AD13" i="44"/>
  <c r="Z13" i="44"/>
  <c r="V13" i="44"/>
  <c r="R13" i="44"/>
  <c r="N13" i="44"/>
  <c r="J13" i="44"/>
  <c r="F13" i="44"/>
  <c r="B13" i="44"/>
  <c r="AT12" i="44"/>
  <c r="AP12" i="44"/>
  <c r="AL12" i="44"/>
  <c r="AH12" i="44"/>
  <c r="AD12" i="44"/>
  <c r="Z12" i="44"/>
  <c r="V12" i="44"/>
  <c r="R12" i="44"/>
  <c r="N12" i="44"/>
  <c r="J12" i="44"/>
  <c r="F12" i="44"/>
  <c r="B12" i="44"/>
  <c r="AT11" i="44"/>
  <c r="AP11" i="44"/>
  <c r="AL11" i="44"/>
  <c r="AH11" i="44"/>
  <c r="AD11" i="44"/>
  <c r="Z11" i="44"/>
  <c r="V11" i="44"/>
  <c r="R11" i="44"/>
  <c r="N11" i="44"/>
  <c r="J11" i="44"/>
  <c r="F11" i="44"/>
  <c r="B11" i="44"/>
  <c r="AT10" i="44"/>
  <c r="AP10" i="44"/>
  <c r="AL10" i="44"/>
  <c r="AH10" i="44"/>
  <c r="AD10" i="44"/>
  <c r="Z10" i="44"/>
  <c r="V10" i="44"/>
  <c r="R10" i="44"/>
  <c r="N10" i="44"/>
  <c r="J10" i="44"/>
  <c r="F10" i="44"/>
  <c r="B10" i="44"/>
  <c r="AT9" i="44"/>
  <c r="AP9" i="44"/>
  <c r="AL9" i="44"/>
  <c r="AH9" i="44"/>
  <c r="AD9" i="44"/>
  <c r="Z9" i="44"/>
  <c r="V9" i="44"/>
  <c r="R9" i="44"/>
  <c r="N9" i="44"/>
  <c r="J9" i="44"/>
  <c r="F9" i="44"/>
  <c r="B9" i="44"/>
  <c r="AT8" i="44"/>
  <c r="AP8" i="44"/>
  <c r="AL8" i="44"/>
  <c r="AH8" i="44"/>
  <c r="AD8" i="44"/>
  <c r="Z8" i="44"/>
  <c r="V8" i="44"/>
  <c r="R8" i="44"/>
  <c r="N8" i="44"/>
  <c r="J8" i="44"/>
  <c r="F8" i="44"/>
  <c r="B8" i="44"/>
  <c r="AH7" i="44"/>
  <c r="Z7" i="44"/>
  <c r="F7" i="44"/>
  <c r="B7" i="44"/>
  <c r="AT6" i="44"/>
  <c r="AP6" i="44"/>
  <c r="AL6" i="44"/>
  <c r="AH6" i="44"/>
  <c r="AD6" i="44"/>
  <c r="Z6" i="44"/>
  <c r="V6" i="44"/>
  <c r="R6" i="44"/>
  <c r="N6" i="44"/>
  <c r="J6" i="44"/>
  <c r="F6" i="44"/>
  <c r="B6" i="44"/>
  <c r="AT5" i="44"/>
  <c r="AP5" i="44"/>
  <c r="AL5" i="44"/>
  <c r="AH5" i="44"/>
  <c r="AD5" i="44"/>
  <c r="Z5" i="44"/>
  <c r="V5" i="44"/>
  <c r="R5" i="44"/>
  <c r="N5" i="44"/>
  <c r="J5" i="44"/>
  <c r="F5" i="44"/>
  <c r="B5" i="44"/>
  <c r="AT4" i="44"/>
  <c r="AP4" i="44"/>
  <c r="AL4" i="44"/>
  <c r="AH4" i="44"/>
  <c r="AD4" i="44"/>
  <c r="Z4" i="44"/>
  <c r="V4" i="44"/>
  <c r="R4" i="44"/>
  <c r="N4" i="44"/>
  <c r="J4" i="44"/>
  <c r="F4" i="44"/>
  <c r="B4" i="44"/>
  <c r="AT3" i="44"/>
  <c r="AP3" i="44"/>
  <c r="AL3" i="44"/>
  <c r="AH3" i="44"/>
  <c r="AD3" i="44"/>
  <c r="Z3" i="44"/>
  <c r="V3" i="44"/>
  <c r="R3" i="44"/>
  <c r="N3" i="44"/>
  <c r="J3" i="44"/>
  <c r="F3" i="44"/>
  <c r="B3" i="44"/>
  <c r="AT2" i="44"/>
  <c r="AP2" i="44"/>
  <c r="AL2" i="44"/>
  <c r="AH2" i="44"/>
  <c r="AD2" i="44"/>
  <c r="Z2" i="44"/>
  <c r="V2" i="44"/>
  <c r="N2" i="44"/>
  <c r="J2" i="44"/>
  <c r="F2" i="44"/>
  <c r="AQ35" i="42"/>
  <c r="AM35" i="42"/>
  <c r="AI35" i="42"/>
  <c r="AE35" i="42"/>
  <c r="AA35" i="42"/>
  <c r="W35" i="42"/>
  <c r="AV33" i="42"/>
  <c r="AU33" i="42"/>
  <c r="AR33" i="42"/>
  <c r="AQ33" i="42"/>
  <c r="AN33" i="42"/>
  <c r="AM33" i="42"/>
  <c r="AJ33" i="42"/>
  <c r="AI33" i="42"/>
  <c r="AF33" i="42"/>
  <c r="AE33" i="42"/>
  <c r="AB33" i="42"/>
  <c r="AA33" i="42"/>
  <c r="X33" i="42"/>
  <c r="W33" i="42"/>
  <c r="T33" i="42"/>
  <c r="S33" i="42"/>
  <c r="P33" i="42"/>
  <c r="O33" i="42"/>
  <c r="L33" i="42"/>
  <c r="K33" i="42"/>
  <c r="H33" i="42"/>
  <c r="G33" i="42"/>
  <c r="AT32" i="42"/>
  <c r="AL32" i="42"/>
  <c r="AD32" i="42"/>
  <c r="Z32" i="42"/>
  <c r="R32" i="42"/>
  <c r="N32" i="42"/>
  <c r="J32" i="42"/>
  <c r="B32" i="42"/>
  <c r="AT31" i="42"/>
  <c r="AP31" i="42"/>
  <c r="AL31" i="42"/>
  <c r="AH31" i="42"/>
  <c r="AD31" i="42"/>
  <c r="Z31" i="42"/>
  <c r="V31" i="42"/>
  <c r="R31" i="42"/>
  <c r="N31" i="42"/>
  <c r="J31" i="42"/>
  <c r="B31" i="42"/>
  <c r="AT30" i="42"/>
  <c r="AP30" i="42"/>
  <c r="AL30" i="42"/>
  <c r="AH30" i="42"/>
  <c r="AD30" i="42"/>
  <c r="Z30" i="42"/>
  <c r="V30" i="42"/>
  <c r="R30" i="42"/>
  <c r="N30" i="42"/>
  <c r="J30" i="42"/>
  <c r="B30" i="42"/>
  <c r="AT29" i="42"/>
  <c r="AP29" i="42"/>
  <c r="AL29" i="42"/>
  <c r="AH29" i="42"/>
  <c r="AD29" i="42"/>
  <c r="Z29" i="42"/>
  <c r="V29" i="42"/>
  <c r="R29" i="42"/>
  <c r="N29" i="42"/>
  <c r="J29" i="42"/>
  <c r="F29" i="42"/>
  <c r="B29" i="42"/>
  <c r="AT28" i="42"/>
  <c r="AP28" i="42"/>
  <c r="AL28" i="42"/>
  <c r="AH28" i="42"/>
  <c r="AD28" i="42"/>
  <c r="Z28" i="42"/>
  <c r="V28" i="42"/>
  <c r="R28" i="42"/>
  <c r="N28" i="42"/>
  <c r="J28" i="42"/>
  <c r="F28" i="42"/>
  <c r="B28" i="42"/>
  <c r="AT27" i="42"/>
  <c r="AP27" i="42"/>
  <c r="AL27" i="42"/>
  <c r="AH27" i="42"/>
  <c r="AD27" i="42"/>
  <c r="Z27" i="42"/>
  <c r="V27" i="42"/>
  <c r="R27" i="42"/>
  <c r="N27" i="42"/>
  <c r="J27" i="42"/>
  <c r="F27" i="42"/>
  <c r="B27" i="42"/>
  <c r="AT26" i="42"/>
  <c r="AP26" i="42"/>
  <c r="AL26" i="42"/>
  <c r="AH26" i="42"/>
  <c r="AD26" i="42"/>
  <c r="Z26" i="42"/>
  <c r="V26" i="42"/>
  <c r="R26" i="42"/>
  <c r="N26" i="42"/>
  <c r="J26" i="42"/>
  <c r="F26" i="42"/>
  <c r="B26" i="42"/>
  <c r="AT25" i="42"/>
  <c r="AP25" i="42"/>
  <c r="AL25" i="42"/>
  <c r="AH25" i="42"/>
  <c r="AD25" i="42"/>
  <c r="Z25" i="42"/>
  <c r="V25" i="42"/>
  <c r="R25" i="42"/>
  <c r="N25" i="42"/>
  <c r="J25" i="42"/>
  <c r="F25" i="42"/>
  <c r="B25" i="42"/>
  <c r="AT24" i="42"/>
  <c r="AP24" i="42"/>
  <c r="AL24" i="42"/>
  <c r="AH24" i="42"/>
  <c r="AD24" i="42"/>
  <c r="Z24" i="42"/>
  <c r="V24" i="42"/>
  <c r="R24" i="42"/>
  <c r="N24" i="42"/>
  <c r="J24" i="42"/>
  <c r="F24" i="42"/>
  <c r="B24" i="42"/>
  <c r="AT23" i="42"/>
  <c r="AP23" i="42"/>
  <c r="AL23" i="42"/>
  <c r="AH23" i="42"/>
  <c r="AD23" i="42"/>
  <c r="Z23" i="42"/>
  <c r="V23" i="42"/>
  <c r="R23" i="42"/>
  <c r="N23" i="42"/>
  <c r="J23" i="42"/>
  <c r="F23" i="42"/>
  <c r="B23" i="42"/>
  <c r="AT22" i="42"/>
  <c r="AP22" i="42"/>
  <c r="AL22" i="42"/>
  <c r="AH22" i="42"/>
  <c r="AD22" i="42"/>
  <c r="Z22" i="42"/>
  <c r="V22" i="42"/>
  <c r="R22" i="42"/>
  <c r="N22" i="42"/>
  <c r="J22" i="42"/>
  <c r="F22" i="42"/>
  <c r="B22" i="42"/>
  <c r="AT21" i="42"/>
  <c r="AP21" i="42"/>
  <c r="AL21" i="42"/>
  <c r="AH21" i="42"/>
  <c r="AD21" i="42"/>
  <c r="Z21" i="42"/>
  <c r="V21" i="42"/>
  <c r="R21" i="42"/>
  <c r="N21" i="42"/>
  <c r="J21" i="42"/>
  <c r="F21" i="42"/>
  <c r="B21" i="42"/>
  <c r="AT20" i="42"/>
  <c r="AP20" i="42"/>
  <c r="AL20" i="42"/>
  <c r="AH20" i="42"/>
  <c r="AD20" i="42"/>
  <c r="Z20" i="42"/>
  <c r="V20" i="42"/>
  <c r="R20" i="42"/>
  <c r="N20" i="42"/>
  <c r="J20" i="42"/>
  <c r="F20" i="42"/>
  <c r="B20" i="42"/>
  <c r="AT19" i="42"/>
  <c r="AP19" i="42"/>
  <c r="AL19" i="42"/>
  <c r="AH19" i="42"/>
  <c r="AD19" i="42"/>
  <c r="Z19" i="42"/>
  <c r="V19" i="42"/>
  <c r="R19" i="42"/>
  <c r="N19" i="42"/>
  <c r="J19" i="42"/>
  <c r="F19" i="42"/>
  <c r="B19" i="42"/>
  <c r="AT18" i="42"/>
  <c r="AP18" i="42"/>
  <c r="AL18" i="42"/>
  <c r="AH18" i="42"/>
  <c r="AD18" i="42"/>
  <c r="Z18" i="42"/>
  <c r="V18" i="42"/>
  <c r="R18" i="42"/>
  <c r="N18" i="42"/>
  <c r="J18" i="42"/>
  <c r="F18" i="42"/>
  <c r="B18" i="42"/>
  <c r="AT17" i="42"/>
  <c r="AP17" i="42"/>
  <c r="AL17" i="42"/>
  <c r="AH17" i="42"/>
  <c r="AD17" i="42"/>
  <c r="Z17" i="42"/>
  <c r="V17" i="42"/>
  <c r="R17" i="42"/>
  <c r="N17" i="42"/>
  <c r="J17" i="42"/>
  <c r="F17" i="42"/>
  <c r="B17" i="42"/>
  <c r="AT16" i="42"/>
  <c r="AP16" i="42"/>
  <c r="AL16" i="42"/>
  <c r="AH16" i="42"/>
  <c r="AD16" i="42"/>
  <c r="Z16" i="42"/>
  <c r="V16" i="42"/>
  <c r="R16" i="42"/>
  <c r="N16" i="42"/>
  <c r="J16" i="42"/>
  <c r="F16" i="42"/>
  <c r="B16" i="42"/>
  <c r="AT15" i="42"/>
  <c r="AP15" i="42"/>
  <c r="AL15" i="42"/>
  <c r="AH15" i="42"/>
  <c r="AD15" i="42"/>
  <c r="Z15" i="42"/>
  <c r="V15" i="42"/>
  <c r="R15" i="42"/>
  <c r="N15" i="42"/>
  <c r="J15" i="42"/>
  <c r="F15" i="42"/>
  <c r="B15" i="42"/>
  <c r="AT14" i="42"/>
  <c r="AP14" i="42"/>
  <c r="AL14" i="42"/>
  <c r="AH14" i="42"/>
  <c r="AD14" i="42"/>
  <c r="Z14" i="42"/>
  <c r="V14" i="42"/>
  <c r="R14" i="42"/>
  <c r="N14" i="42"/>
  <c r="J14" i="42"/>
  <c r="F14" i="42"/>
  <c r="B14" i="42"/>
  <c r="AT13" i="42"/>
  <c r="AP13" i="42"/>
  <c r="AL13" i="42"/>
  <c r="AH13" i="42"/>
  <c r="AD13" i="42"/>
  <c r="Z13" i="42"/>
  <c r="V13" i="42"/>
  <c r="R13" i="42"/>
  <c r="N13" i="42"/>
  <c r="J13" i="42"/>
  <c r="F13" i="42"/>
  <c r="B13" i="42"/>
  <c r="AT12" i="42"/>
  <c r="AP12" i="42"/>
  <c r="AL12" i="42"/>
  <c r="AH12" i="42"/>
  <c r="AD12" i="42"/>
  <c r="Z12" i="42"/>
  <c r="V12" i="42"/>
  <c r="R12" i="42"/>
  <c r="N12" i="42"/>
  <c r="J12" i="42"/>
  <c r="F12" i="42"/>
  <c r="B12" i="42"/>
  <c r="AT11" i="42"/>
  <c r="AP11" i="42"/>
  <c r="AL11" i="42"/>
  <c r="AH11" i="42"/>
  <c r="AD11" i="42"/>
  <c r="Z11" i="42"/>
  <c r="V11" i="42"/>
  <c r="R11" i="42"/>
  <c r="N11" i="42"/>
  <c r="J11" i="42"/>
  <c r="F11" i="42"/>
  <c r="B11" i="42"/>
  <c r="AT10" i="42"/>
  <c r="AP10" i="42"/>
  <c r="AL10" i="42"/>
  <c r="AH10" i="42"/>
  <c r="AD10" i="42"/>
  <c r="Z10" i="42"/>
  <c r="V10" i="42"/>
  <c r="R10" i="42"/>
  <c r="N10" i="42"/>
  <c r="J10" i="42"/>
  <c r="F10" i="42"/>
  <c r="B10" i="42"/>
  <c r="AT9" i="42"/>
  <c r="AP9" i="42"/>
  <c r="AL9" i="42"/>
  <c r="AH9" i="42"/>
  <c r="AD9" i="42"/>
  <c r="Z9" i="42"/>
  <c r="V9" i="42"/>
  <c r="R9" i="42"/>
  <c r="N9" i="42"/>
  <c r="J9" i="42"/>
  <c r="F9" i="42"/>
  <c r="B9" i="42"/>
  <c r="AT8" i="42"/>
  <c r="AP8" i="42"/>
  <c r="AL8" i="42"/>
  <c r="AH8" i="42"/>
  <c r="AD8" i="42"/>
  <c r="Z8" i="42"/>
  <c r="V8" i="42"/>
  <c r="R8" i="42"/>
  <c r="N8" i="42"/>
  <c r="J8" i="42"/>
  <c r="F8" i="42"/>
  <c r="B8" i="42"/>
  <c r="AH7" i="42"/>
  <c r="Z7" i="42"/>
  <c r="F7" i="42"/>
  <c r="B7" i="42"/>
  <c r="AT6" i="42"/>
  <c r="AP6" i="42"/>
  <c r="AL6" i="42"/>
  <c r="AH6" i="42"/>
  <c r="AD6" i="42"/>
  <c r="Z6" i="42"/>
  <c r="V6" i="42"/>
  <c r="R6" i="42"/>
  <c r="N6" i="42"/>
  <c r="J6" i="42"/>
  <c r="F6" i="42"/>
  <c r="B6" i="42"/>
  <c r="AT5" i="42"/>
  <c r="AP5" i="42"/>
  <c r="AL5" i="42"/>
  <c r="AH5" i="42"/>
  <c r="AD5" i="42"/>
  <c r="Z5" i="42"/>
  <c r="V5" i="42"/>
  <c r="R5" i="42"/>
  <c r="N5" i="42"/>
  <c r="J5" i="42"/>
  <c r="F5" i="42"/>
  <c r="B5" i="42"/>
  <c r="AT4" i="42"/>
  <c r="AP4" i="42"/>
  <c r="AL4" i="42"/>
  <c r="AH4" i="42"/>
  <c r="AD4" i="42"/>
  <c r="Z4" i="42"/>
  <c r="V4" i="42"/>
  <c r="R4" i="42"/>
  <c r="N4" i="42"/>
  <c r="J4" i="42"/>
  <c r="F4" i="42"/>
  <c r="B4" i="42"/>
  <c r="AT3" i="42"/>
  <c r="AP3" i="42"/>
  <c r="AL3" i="42"/>
  <c r="AH3" i="42"/>
  <c r="AD3" i="42"/>
  <c r="Z3" i="42"/>
  <c r="V3" i="42"/>
  <c r="R3" i="42"/>
  <c r="N3" i="42"/>
  <c r="J3" i="42"/>
  <c r="F3" i="42"/>
  <c r="B3" i="42"/>
  <c r="AT2" i="42"/>
  <c r="AP2" i="42"/>
  <c r="AL2" i="42"/>
  <c r="AH2" i="42"/>
  <c r="AD2" i="42"/>
  <c r="Z2" i="42"/>
  <c r="V2" i="42"/>
  <c r="N2" i="42"/>
  <c r="J2" i="42"/>
  <c r="F2" i="42"/>
  <c r="AQ35" i="41"/>
  <c r="AM35" i="41"/>
  <c r="AI35" i="41"/>
  <c r="AE35" i="41"/>
  <c r="AA35" i="41"/>
  <c r="W35" i="41"/>
  <c r="AV33" i="41"/>
  <c r="AU33" i="41"/>
  <c r="AR33" i="41"/>
  <c r="AQ33" i="41"/>
  <c r="AN33" i="41"/>
  <c r="AM33" i="41"/>
  <c r="AJ33" i="41"/>
  <c r="AI33" i="41"/>
  <c r="AF33" i="41"/>
  <c r="AE33" i="41"/>
  <c r="AB33" i="41"/>
  <c r="AA33" i="41"/>
  <c r="X33" i="41"/>
  <c r="W33" i="41"/>
  <c r="T33" i="41"/>
  <c r="S33" i="41"/>
  <c r="P33" i="41"/>
  <c r="O33" i="41"/>
  <c r="L33" i="41"/>
  <c r="K33" i="41"/>
  <c r="H33" i="41"/>
  <c r="G33" i="41"/>
  <c r="AT32" i="41"/>
  <c r="AL32" i="41"/>
  <c r="AD32" i="41"/>
  <c r="Z32" i="41"/>
  <c r="R32" i="41"/>
  <c r="N32" i="41"/>
  <c r="J32" i="41"/>
  <c r="B32" i="41"/>
  <c r="AT31" i="41"/>
  <c r="AP31" i="41"/>
  <c r="AL31" i="41"/>
  <c r="AH31" i="41"/>
  <c r="AD31" i="41"/>
  <c r="Z31" i="41"/>
  <c r="V31" i="41"/>
  <c r="R31" i="41"/>
  <c r="N31" i="41"/>
  <c r="J31" i="41"/>
  <c r="B31" i="41"/>
  <c r="AT30" i="41"/>
  <c r="AP30" i="41"/>
  <c r="AL30" i="41"/>
  <c r="AH30" i="41"/>
  <c r="AD30" i="41"/>
  <c r="Z30" i="41"/>
  <c r="V30" i="41"/>
  <c r="R30" i="41"/>
  <c r="N30" i="41"/>
  <c r="J30" i="41"/>
  <c r="B30" i="41"/>
  <c r="AT29" i="41"/>
  <c r="AP29" i="41"/>
  <c r="AL29" i="41"/>
  <c r="AH29" i="41"/>
  <c r="AD29" i="41"/>
  <c r="Z29" i="41"/>
  <c r="V29" i="41"/>
  <c r="R29" i="41"/>
  <c r="N29" i="41"/>
  <c r="J29" i="41"/>
  <c r="F29" i="41"/>
  <c r="B29" i="41"/>
  <c r="AT28" i="41"/>
  <c r="AP28" i="41"/>
  <c r="AL28" i="41"/>
  <c r="AH28" i="41"/>
  <c r="AD28" i="41"/>
  <c r="Z28" i="41"/>
  <c r="V28" i="41"/>
  <c r="R28" i="41"/>
  <c r="N28" i="41"/>
  <c r="J28" i="41"/>
  <c r="F28" i="41"/>
  <c r="B28" i="41"/>
  <c r="AT27" i="41"/>
  <c r="AP27" i="41"/>
  <c r="AL27" i="41"/>
  <c r="AH27" i="41"/>
  <c r="AD27" i="41"/>
  <c r="Z27" i="41"/>
  <c r="V27" i="41"/>
  <c r="R27" i="41"/>
  <c r="N27" i="41"/>
  <c r="J27" i="41"/>
  <c r="F27" i="41"/>
  <c r="B27" i="41"/>
  <c r="AT26" i="41"/>
  <c r="AP26" i="41"/>
  <c r="AL26" i="41"/>
  <c r="AH26" i="41"/>
  <c r="AD26" i="41"/>
  <c r="Z26" i="41"/>
  <c r="V26" i="41"/>
  <c r="R26" i="41"/>
  <c r="N26" i="41"/>
  <c r="J26" i="41"/>
  <c r="F26" i="41"/>
  <c r="B26" i="41"/>
  <c r="AT25" i="41"/>
  <c r="AP25" i="41"/>
  <c r="AL25" i="41"/>
  <c r="AH25" i="41"/>
  <c r="AD25" i="41"/>
  <c r="Z25" i="41"/>
  <c r="V25" i="41"/>
  <c r="R25" i="41"/>
  <c r="N25" i="41"/>
  <c r="J25" i="41"/>
  <c r="F25" i="41"/>
  <c r="B25" i="41"/>
  <c r="AT24" i="41"/>
  <c r="AP24" i="41"/>
  <c r="AL24" i="41"/>
  <c r="AH24" i="41"/>
  <c r="AD24" i="41"/>
  <c r="Z24" i="41"/>
  <c r="V24" i="41"/>
  <c r="R24" i="41"/>
  <c r="N24" i="41"/>
  <c r="J24" i="41"/>
  <c r="F24" i="41"/>
  <c r="B24" i="41"/>
  <c r="AT23" i="41"/>
  <c r="AP23" i="41"/>
  <c r="AL23" i="41"/>
  <c r="AH23" i="41"/>
  <c r="AD23" i="41"/>
  <c r="Z23" i="41"/>
  <c r="V23" i="41"/>
  <c r="R23" i="41"/>
  <c r="N23" i="41"/>
  <c r="J23" i="41"/>
  <c r="F23" i="41"/>
  <c r="B23" i="41"/>
  <c r="AT22" i="41"/>
  <c r="AP22" i="41"/>
  <c r="AL22" i="41"/>
  <c r="AH22" i="41"/>
  <c r="AD22" i="41"/>
  <c r="Z22" i="41"/>
  <c r="V22" i="41"/>
  <c r="R22" i="41"/>
  <c r="N22" i="41"/>
  <c r="J22" i="41"/>
  <c r="F22" i="41"/>
  <c r="B22" i="41"/>
  <c r="AT21" i="41"/>
  <c r="AP21" i="41"/>
  <c r="AL21" i="41"/>
  <c r="AH21" i="41"/>
  <c r="AD21" i="41"/>
  <c r="Z21" i="41"/>
  <c r="V21" i="41"/>
  <c r="R21" i="41"/>
  <c r="N21" i="41"/>
  <c r="J21" i="41"/>
  <c r="F21" i="41"/>
  <c r="B21" i="41"/>
  <c r="AT20" i="41"/>
  <c r="AP20" i="41"/>
  <c r="AL20" i="41"/>
  <c r="AH20" i="41"/>
  <c r="AD20" i="41"/>
  <c r="Z20" i="41"/>
  <c r="V20" i="41"/>
  <c r="R20" i="41"/>
  <c r="N20" i="41"/>
  <c r="J20" i="41"/>
  <c r="F20" i="41"/>
  <c r="B20" i="41"/>
  <c r="AT19" i="41"/>
  <c r="AP19" i="41"/>
  <c r="AL19" i="41"/>
  <c r="AH19" i="41"/>
  <c r="AD19" i="41"/>
  <c r="Z19" i="41"/>
  <c r="V19" i="41"/>
  <c r="R19" i="41"/>
  <c r="N19" i="41"/>
  <c r="J19" i="41"/>
  <c r="F19" i="41"/>
  <c r="B19" i="41"/>
  <c r="AT18" i="41"/>
  <c r="AP18" i="41"/>
  <c r="AL18" i="41"/>
  <c r="AH18" i="41"/>
  <c r="AD18" i="41"/>
  <c r="Z18" i="41"/>
  <c r="V18" i="41"/>
  <c r="R18" i="41"/>
  <c r="N18" i="41"/>
  <c r="J18" i="41"/>
  <c r="F18" i="41"/>
  <c r="B18" i="41"/>
  <c r="AT17" i="41"/>
  <c r="AP17" i="41"/>
  <c r="AL17" i="41"/>
  <c r="AH17" i="41"/>
  <c r="AD17" i="41"/>
  <c r="Z17" i="41"/>
  <c r="V17" i="41"/>
  <c r="R17" i="41"/>
  <c r="N17" i="41"/>
  <c r="J17" i="41"/>
  <c r="F17" i="41"/>
  <c r="B17" i="41"/>
  <c r="AT16" i="41"/>
  <c r="AP16" i="41"/>
  <c r="AL16" i="41"/>
  <c r="AH16" i="41"/>
  <c r="AD16" i="41"/>
  <c r="Z16" i="41"/>
  <c r="V16" i="41"/>
  <c r="R16" i="41"/>
  <c r="N16" i="41"/>
  <c r="J16" i="41"/>
  <c r="F16" i="41"/>
  <c r="B16" i="41"/>
  <c r="AT15" i="41"/>
  <c r="AP15" i="41"/>
  <c r="AL15" i="41"/>
  <c r="AH15" i="41"/>
  <c r="AD15" i="41"/>
  <c r="Z15" i="41"/>
  <c r="V15" i="41"/>
  <c r="R15" i="41"/>
  <c r="N15" i="41"/>
  <c r="J15" i="41"/>
  <c r="F15" i="41"/>
  <c r="B15" i="41"/>
  <c r="AT14" i="41"/>
  <c r="AP14" i="41"/>
  <c r="AL14" i="41"/>
  <c r="AH14" i="41"/>
  <c r="AD14" i="41"/>
  <c r="Z14" i="41"/>
  <c r="V14" i="41"/>
  <c r="R14" i="41"/>
  <c r="N14" i="41"/>
  <c r="J14" i="41"/>
  <c r="F14" i="41"/>
  <c r="B14" i="41"/>
  <c r="AT13" i="41"/>
  <c r="AP13" i="41"/>
  <c r="AL13" i="41"/>
  <c r="AH13" i="41"/>
  <c r="AD13" i="41"/>
  <c r="Z13" i="41"/>
  <c r="V13" i="41"/>
  <c r="R13" i="41"/>
  <c r="N13" i="41"/>
  <c r="J13" i="41"/>
  <c r="F13" i="41"/>
  <c r="B13" i="41"/>
  <c r="AT12" i="41"/>
  <c r="AP12" i="41"/>
  <c r="AL12" i="41"/>
  <c r="AH12" i="41"/>
  <c r="AD12" i="41"/>
  <c r="Z12" i="41"/>
  <c r="V12" i="41"/>
  <c r="R12" i="41"/>
  <c r="N12" i="41"/>
  <c r="J12" i="41"/>
  <c r="F12" i="41"/>
  <c r="B12" i="41"/>
  <c r="AT11" i="41"/>
  <c r="AP11" i="41"/>
  <c r="AL11" i="41"/>
  <c r="AH11" i="41"/>
  <c r="AD11" i="41"/>
  <c r="Z11" i="41"/>
  <c r="V11" i="41"/>
  <c r="R11" i="41"/>
  <c r="N11" i="41"/>
  <c r="J11" i="41"/>
  <c r="F11" i="41"/>
  <c r="B11" i="41"/>
  <c r="AT10" i="41"/>
  <c r="AP10" i="41"/>
  <c r="AL10" i="41"/>
  <c r="AH10" i="41"/>
  <c r="AD10" i="41"/>
  <c r="Z10" i="41"/>
  <c r="V10" i="41"/>
  <c r="R10" i="41"/>
  <c r="N10" i="41"/>
  <c r="J10" i="41"/>
  <c r="F10" i="41"/>
  <c r="B10" i="41"/>
  <c r="AT9" i="41"/>
  <c r="AP9" i="41"/>
  <c r="AL9" i="41"/>
  <c r="AH9" i="41"/>
  <c r="AD9" i="41"/>
  <c r="Z9" i="41"/>
  <c r="V9" i="41"/>
  <c r="R9" i="41"/>
  <c r="N9" i="41"/>
  <c r="J9" i="41"/>
  <c r="F9" i="41"/>
  <c r="B9" i="41"/>
  <c r="AT8" i="41"/>
  <c r="AP8" i="41"/>
  <c r="AL8" i="41"/>
  <c r="AH8" i="41"/>
  <c r="AD8" i="41"/>
  <c r="Z8" i="41"/>
  <c r="V8" i="41"/>
  <c r="R8" i="41"/>
  <c r="N8" i="41"/>
  <c r="J8" i="41"/>
  <c r="F8" i="41"/>
  <c r="B8" i="41"/>
  <c r="AH7" i="41"/>
  <c r="Z7" i="41"/>
  <c r="F7" i="41"/>
  <c r="B7" i="41"/>
  <c r="AT6" i="41"/>
  <c r="AP6" i="41"/>
  <c r="AL6" i="41"/>
  <c r="AH6" i="41"/>
  <c r="AD6" i="41"/>
  <c r="Z6" i="41"/>
  <c r="V6" i="41"/>
  <c r="R6" i="41"/>
  <c r="N6" i="41"/>
  <c r="J6" i="41"/>
  <c r="F6" i="41"/>
  <c r="B6" i="41"/>
  <c r="AT5" i="41"/>
  <c r="AP5" i="41"/>
  <c r="AL5" i="41"/>
  <c r="AH5" i="41"/>
  <c r="AD5" i="41"/>
  <c r="Z5" i="41"/>
  <c r="V5" i="41"/>
  <c r="R5" i="41"/>
  <c r="N5" i="41"/>
  <c r="J5" i="41"/>
  <c r="F5" i="41"/>
  <c r="B5" i="41"/>
  <c r="AT4" i="41"/>
  <c r="AP4" i="41"/>
  <c r="AL4" i="41"/>
  <c r="AH4" i="41"/>
  <c r="AD4" i="41"/>
  <c r="Z4" i="41"/>
  <c r="V4" i="41"/>
  <c r="R4" i="41"/>
  <c r="N4" i="41"/>
  <c r="J4" i="41"/>
  <c r="F4" i="41"/>
  <c r="B4" i="41"/>
  <c r="AT3" i="41"/>
  <c r="AP3" i="41"/>
  <c r="AL3" i="41"/>
  <c r="AH3" i="41"/>
  <c r="AD3" i="41"/>
  <c r="Z3" i="41"/>
  <c r="V3" i="41"/>
  <c r="R3" i="41"/>
  <c r="N3" i="41"/>
  <c r="J3" i="41"/>
  <c r="F3" i="41"/>
  <c r="B3" i="41"/>
  <c r="AT2" i="41"/>
  <c r="AP2" i="41"/>
  <c r="AL2" i="41"/>
  <c r="AH2" i="41"/>
  <c r="AD2" i="41"/>
  <c r="Z2" i="41"/>
  <c r="V2" i="41"/>
  <c r="N2" i="41"/>
  <c r="J2" i="41"/>
  <c r="F2" i="41"/>
  <c r="AQ35" i="49"/>
  <c r="AM35" i="49"/>
  <c r="AI35" i="49"/>
  <c r="AE35" i="49"/>
  <c r="AA35" i="49"/>
  <c r="W35" i="49"/>
  <c r="AV33" i="49"/>
  <c r="AU33" i="49"/>
  <c r="AR33" i="49"/>
  <c r="AQ33" i="49"/>
  <c r="AN33" i="49"/>
  <c r="AM33" i="49"/>
  <c r="AJ33" i="49"/>
  <c r="AI33" i="49"/>
  <c r="AF33" i="49"/>
  <c r="AE33" i="49"/>
  <c r="AB33" i="49"/>
  <c r="AA33" i="49"/>
  <c r="X33" i="49"/>
  <c r="W33" i="49"/>
  <c r="T33" i="49"/>
  <c r="S33" i="49"/>
  <c r="P33" i="49"/>
  <c r="O33" i="49"/>
  <c r="L33" i="49"/>
  <c r="K33" i="49"/>
  <c r="H33" i="49"/>
  <c r="G33" i="49"/>
  <c r="AT32" i="49"/>
  <c r="AL32" i="49"/>
  <c r="AD32" i="49"/>
  <c r="Z32" i="49"/>
  <c r="R32" i="49"/>
  <c r="N32" i="49"/>
  <c r="J32" i="49"/>
  <c r="B32" i="49"/>
  <c r="AT31" i="49"/>
  <c r="AP31" i="49"/>
  <c r="AL31" i="49"/>
  <c r="AH31" i="49"/>
  <c r="AD31" i="49"/>
  <c r="Z31" i="49"/>
  <c r="V31" i="49"/>
  <c r="R31" i="49"/>
  <c r="N31" i="49"/>
  <c r="J31" i="49"/>
  <c r="B31" i="49"/>
  <c r="AT30" i="49"/>
  <c r="AP30" i="49"/>
  <c r="AL30" i="49"/>
  <c r="AH30" i="49"/>
  <c r="AD30" i="49"/>
  <c r="Z30" i="49"/>
  <c r="V30" i="49"/>
  <c r="R30" i="49"/>
  <c r="N30" i="49"/>
  <c r="J30" i="49"/>
  <c r="B30" i="49"/>
  <c r="AT29" i="49"/>
  <c r="AP29" i="49"/>
  <c r="AL29" i="49"/>
  <c r="AH29" i="49"/>
  <c r="AD29" i="49"/>
  <c r="Z29" i="49"/>
  <c r="V29" i="49"/>
  <c r="R29" i="49"/>
  <c r="N29" i="49"/>
  <c r="J29" i="49"/>
  <c r="F29" i="49"/>
  <c r="B29" i="49"/>
  <c r="AT28" i="49"/>
  <c r="AP28" i="49"/>
  <c r="AL28" i="49"/>
  <c r="AH28" i="49"/>
  <c r="AD28" i="49"/>
  <c r="Z28" i="49"/>
  <c r="V28" i="49"/>
  <c r="R28" i="49"/>
  <c r="N28" i="49"/>
  <c r="J28" i="49"/>
  <c r="F28" i="49"/>
  <c r="B28" i="49"/>
  <c r="AT27" i="49"/>
  <c r="AP27" i="49"/>
  <c r="AL27" i="49"/>
  <c r="AH27" i="49"/>
  <c r="AD27" i="49"/>
  <c r="Z27" i="49"/>
  <c r="V27" i="49"/>
  <c r="R27" i="49"/>
  <c r="N27" i="49"/>
  <c r="J27" i="49"/>
  <c r="F27" i="49"/>
  <c r="B27" i="49"/>
  <c r="AT26" i="49"/>
  <c r="AP26" i="49"/>
  <c r="AL26" i="49"/>
  <c r="AH26" i="49"/>
  <c r="AD26" i="49"/>
  <c r="Z26" i="49"/>
  <c r="V26" i="49"/>
  <c r="R26" i="49"/>
  <c r="N26" i="49"/>
  <c r="J26" i="49"/>
  <c r="F26" i="49"/>
  <c r="B26" i="49"/>
  <c r="AT25" i="49"/>
  <c r="AP25" i="49"/>
  <c r="AL25" i="49"/>
  <c r="AH25" i="49"/>
  <c r="AD25" i="49"/>
  <c r="Z25" i="49"/>
  <c r="V25" i="49"/>
  <c r="R25" i="49"/>
  <c r="N25" i="49"/>
  <c r="J25" i="49"/>
  <c r="F25" i="49"/>
  <c r="B25" i="49"/>
  <c r="AT24" i="49"/>
  <c r="AP24" i="49"/>
  <c r="AL24" i="49"/>
  <c r="AH24" i="49"/>
  <c r="AD24" i="49"/>
  <c r="Z24" i="49"/>
  <c r="V24" i="49"/>
  <c r="R24" i="49"/>
  <c r="N24" i="49"/>
  <c r="J24" i="49"/>
  <c r="F24" i="49"/>
  <c r="B24" i="49"/>
  <c r="AT23" i="49"/>
  <c r="AP23" i="49"/>
  <c r="AL23" i="49"/>
  <c r="AH23" i="49"/>
  <c r="AD23" i="49"/>
  <c r="Z23" i="49"/>
  <c r="V23" i="49"/>
  <c r="R23" i="49"/>
  <c r="N23" i="49"/>
  <c r="J23" i="49"/>
  <c r="F23" i="49"/>
  <c r="B23" i="49"/>
  <c r="AT22" i="49"/>
  <c r="AP22" i="49"/>
  <c r="AL22" i="49"/>
  <c r="AH22" i="49"/>
  <c r="AD22" i="49"/>
  <c r="Z22" i="49"/>
  <c r="V22" i="49"/>
  <c r="R22" i="49"/>
  <c r="N22" i="49"/>
  <c r="J22" i="49"/>
  <c r="F22" i="49"/>
  <c r="B22" i="49"/>
  <c r="AT21" i="49"/>
  <c r="AP21" i="49"/>
  <c r="AL21" i="49"/>
  <c r="AH21" i="49"/>
  <c r="AD21" i="49"/>
  <c r="Z21" i="49"/>
  <c r="V21" i="49"/>
  <c r="R21" i="49"/>
  <c r="N21" i="49"/>
  <c r="J21" i="49"/>
  <c r="F21" i="49"/>
  <c r="B21" i="49"/>
  <c r="AT20" i="49"/>
  <c r="AP20" i="49"/>
  <c r="AL20" i="49"/>
  <c r="AH20" i="49"/>
  <c r="AD20" i="49"/>
  <c r="Z20" i="49"/>
  <c r="V20" i="49"/>
  <c r="R20" i="49"/>
  <c r="N20" i="49"/>
  <c r="J20" i="49"/>
  <c r="F20" i="49"/>
  <c r="B20" i="49"/>
  <c r="AT19" i="49"/>
  <c r="AP19" i="49"/>
  <c r="AL19" i="49"/>
  <c r="AH19" i="49"/>
  <c r="AD19" i="49"/>
  <c r="Z19" i="49"/>
  <c r="V19" i="49"/>
  <c r="R19" i="49"/>
  <c r="N19" i="49"/>
  <c r="J19" i="49"/>
  <c r="F19" i="49"/>
  <c r="B19" i="49"/>
  <c r="AT18" i="49"/>
  <c r="AP18" i="49"/>
  <c r="AL18" i="49"/>
  <c r="AH18" i="49"/>
  <c r="AD18" i="49"/>
  <c r="Z18" i="49"/>
  <c r="V18" i="49"/>
  <c r="R18" i="49"/>
  <c r="N18" i="49"/>
  <c r="J18" i="49"/>
  <c r="F18" i="49"/>
  <c r="B18" i="49"/>
  <c r="AT17" i="49"/>
  <c r="AP17" i="49"/>
  <c r="AL17" i="49"/>
  <c r="AH17" i="49"/>
  <c r="AD17" i="49"/>
  <c r="Z17" i="49"/>
  <c r="V17" i="49"/>
  <c r="R17" i="49"/>
  <c r="N17" i="49"/>
  <c r="J17" i="49"/>
  <c r="F17" i="49"/>
  <c r="B17" i="49"/>
  <c r="AT16" i="49"/>
  <c r="AP16" i="49"/>
  <c r="AL16" i="49"/>
  <c r="AH16" i="49"/>
  <c r="AD16" i="49"/>
  <c r="Z16" i="49"/>
  <c r="V16" i="49"/>
  <c r="R16" i="49"/>
  <c r="N16" i="49"/>
  <c r="J16" i="49"/>
  <c r="F16" i="49"/>
  <c r="B16" i="49"/>
  <c r="AT15" i="49"/>
  <c r="AP15" i="49"/>
  <c r="AL15" i="49"/>
  <c r="AH15" i="49"/>
  <c r="AD15" i="49"/>
  <c r="Z15" i="49"/>
  <c r="V15" i="49"/>
  <c r="R15" i="49"/>
  <c r="N15" i="49"/>
  <c r="J15" i="49"/>
  <c r="F15" i="49"/>
  <c r="B15" i="49"/>
  <c r="AT14" i="49"/>
  <c r="AP14" i="49"/>
  <c r="AL14" i="49"/>
  <c r="AH14" i="49"/>
  <c r="AD14" i="49"/>
  <c r="Z14" i="49"/>
  <c r="V14" i="49"/>
  <c r="R14" i="49"/>
  <c r="N14" i="49"/>
  <c r="J14" i="49"/>
  <c r="F14" i="49"/>
  <c r="B14" i="49"/>
  <c r="AT13" i="49"/>
  <c r="AP13" i="49"/>
  <c r="AL13" i="49"/>
  <c r="AH13" i="49"/>
  <c r="AD13" i="49"/>
  <c r="Z13" i="49"/>
  <c r="V13" i="49"/>
  <c r="R13" i="49"/>
  <c r="N13" i="49"/>
  <c r="J13" i="49"/>
  <c r="F13" i="49"/>
  <c r="B13" i="49"/>
  <c r="AT12" i="49"/>
  <c r="AP12" i="49"/>
  <c r="AL12" i="49"/>
  <c r="AH12" i="49"/>
  <c r="AD12" i="49"/>
  <c r="Z12" i="49"/>
  <c r="V12" i="49"/>
  <c r="R12" i="49"/>
  <c r="N12" i="49"/>
  <c r="J12" i="49"/>
  <c r="F12" i="49"/>
  <c r="B12" i="49"/>
  <c r="AT11" i="49"/>
  <c r="AP11" i="49"/>
  <c r="AL11" i="49"/>
  <c r="AH11" i="49"/>
  <c r="AD11" i="49"/>
  <c r="Z11" i="49"/>
  <c r="V11" i="49"/>
  <c r="R11" i="49"/>
  <c r="N11" i="49"/>
  <c r="J11" i="49"/>
  <c r="F11" i="49"/>
  <c r="B11" i="49"/>
  <c r="AT10" i="49"/>
  <c r="AP10" i="49"/>
  <c r="AL10" i="49"/>
  <c r="AH10" i="49"/>
  <c r="AD10" i="49"/>
  <c r="Z10" i="49"/>
  <c r="V10" i="49"/>
  <c r="R10" i="49"/>
  <c r="N10" i="49"/>
  <c r="J10" i="49"/>
  <c r="F10" i="49"/>
  <c r="B10" i="49"/>
  <c r="AT9" i="49"/>
  <c r="AP9" i="49"/>
  <c r="AL9" i="49"/>
  <c r="AH9" i="49"/>
  <c r="AD9" i="49"/>
  <c r="Z9" i="49"/>
  <c r="V9" i="49"/>
  <c r="R9" i="49"/>
  <c r="N9" i="49"/>
  <c r="J9" i="49"/>
  <c r="F9" i="49"/>
  <c r="B9" i="49"/>
  <c r="AT8" i="49"/>
  <c r="AP8" i="49"/>
  <c r="AL8" i="49"/>
  <c r="AH8" i="49"/>
  <c r="AD8" i="49"/>
  <c r="Z8" i="49"/>
  <c r="V8" i="49"/>
  <c r="R8" i="49"/>
  <c r="N8" i="49"/>
  <c r="J8" i="49"/>
  <c r="F8" i="49"/>
  <c r="B8" i="49"/>
  <c r="AH7" i="49"/>
  <c r="Z7" i="49"/>
  <c r="F7" i="49"/>
  <c r="B7" i="49"/>
  <c r="AT6" i="49"/>
  <c r="AP6" i="49"/>
  <c r="AL6" i="49"/>
  <c r="AH6" i="49"/>
  <c r="AD6" i="49"/>
  <c r="Z6" i="49"/>
  <c r="V6" i="49"/>
  <c r="R6" i="49"/>
  <c r="N6" i="49"/>
  <c r="J6" i="49"/>
  <c r="F6" i="49"/>
  <c r="B6" i="49"/>
  <c r="AT5" i="49"/>
  <c r="AP5" i="49"/>
  <c r="AL5" i="49"/>
  <c r="AH5" i="49"/>
  <c r="AD5" i="49"/>
  <c r="Z5" i="49"/>
  <c r="V5" i="49"/>
  <c r="R5" i="49"/>
  <c r="N5" i="49"/>
  <c r="J5" i="49"/>
  <c r="F5" i="49"/>
  <c r="B5" i="49"/>
  <c r="AT4" i="49"/>
  <c r="AP4" i="49"/>
  <c r="AL4" i="49"/>
  <c r="AH4" i="49"/>
  <c r="AD4" i="49"/>
  <c r="Z4" i="49"/>
  <c r="V4" i="49"/>
  <c r="R4" i="49"/>
  <c r="N4" i="49"/>
  <c r="J4" i="49"/>
  <c r="F4" i="49"/>
  <c r="B4" i="49"/>
  <c r="AT3" i="49"/>
  <c r="AP3" i="49"/>
  <c r="AL3" i="49"/>
  <c r="AH3" i="49"/>
  <c r="AD3" i="49"/>
  <c r="Z3" i="49"/>
  <c r="V3" i="49"/>
  <c r="R3" i="49"/>
  <c r="N3" i="49"/>
  <c r="J3" i="49"/>
  <c r="F3" i="49"/>
  <c r="B3" i="49"/>
  <c r="AT2" i="49"/>
  <c r="AP2" i="49"/>
  <c r="AL2" i="49"/>
  <c r="AH2" i="49"/>
  <c r="AD2" i="49"/>
  <c r="Z2" i="49"/>
  <c r="V2" i="49"/>
  <c r="N2" i="49"/>
  <c r="J2" i="49"/>
  <c r="F2" i="49"/>
  <c r="AQ35" i="43"/>
  <c r="AM35" i="43"/>
  <c r="AI35" i="43"/>
  <c r="AE35" i="43"/>
  <c r="AA35" i="43"/>
  <c r="W35" i="43"/>
  <c r="AV33" i="43"/>
  <c r="AU33" i="43"/>
  <c r="AR33" i="43"/>
  <c r="AQ33" i="43"/>
  <c r="AN33" i="43"/>
  <c r="AM33" i="43"/>
  <c r="AJ33" i="43"/>
  <c r="AI33" i="43"/>
  <c r="AF33" i="43"/>
  <c r="AE33" i="43"/>
  <c r="AB33" i="43"/>
  <c r="AA33" i="43"/>
  <c r="X33" i="43"/>
  <c r="W33" i="43"/>
  <c r="T33" i="43"/>
  <c r="S33" i="43"/>
  <c r="P33" i="43"/>
  <c r="O33" i="43"/>
  <c r="L33" i="43"/>
  <c r="K33" i="43"/>
  <c r="H33" i="43"/>
  <c r="G33" i="43"/>
  <c r="AT32" i="43"/>
  <c r="AL32" i="43"/>
  <c r="AD32" i="43"/>
  <c r="Z32" i="43"/>
  <c r="R32" i="43"/>
  <c r="N32" i="43"/>
  <c r="J32" i="43"/>
  <c r="B32" i="43"/>
  <c r="AT31" i="43"/>
  <c r="AP31" i="43"/>
  <c r="AL31" i="43"/>
  <c r="AH31" i="43"/>
  <c r="AD31" i="43"/>
  <c r="Z31" i="43"/>
  <c r="V31" i="43"/>
  <c r="R31" i="43"/>
  <c r="N31" i="43"/>
  <c r="J31" i="43"/>
  <c r="B31" i="43"/>
  <c r="AT30" i="43"/>
  <c r="AP30" i="43"/>
  <c r="AL30" i="43"/>
  <c r="AH30" i="43"/>
  <c r="AD30" i="43"/>
  <c r="Z30" i="43"/>
  <c r="V30" i="43"/>
  <c r="R30" i="43"/>
  <c r="N30" i="43"/>
  <c r="J30" i="43"/>
  <c r="B30" i="43"/>
  <c r="AT29" i="43"/>
  <c r="AP29" i="43"/>
  <c r="AL29" i="43"/>
  <c r="AH29" i="43"/>
  <c r="AD29" i="43"/>
  <c r="Z29" i="43"/>
  <c r="V29" i="43"/>
  <c r="R29" i="43"/>
  <c r="N29" i="43"/>
  <c r="J29" i="43"/>
  <c r="F29" i="43"/>
  <c r="B29" i="43"/>
  <c r="AT28" i="43"/>
  <c r="AP28" i="43"/>
  <c r="AL28" i="43"/>
  <c r="AH28" i="43"/>
  <c r="AD28" i="43"/>
  <c r="Z28" i="43"/>
  <c r="V28" i="43"/>
  <c r="R28" i="43"/>
  <c r="N28" i="43"/>
  <c r="J28" i="43"/>
  <c r="F28" i="43"/>
  <c r="B28" i="43"/>
  <c r="AT27" i="43"/>
  <c r="AP27" i="43"/>
  <c r="AL27" i="43"/>
  <c r="AH27" i="43"/>
  <c r="AD27" i="43"/>
  <c r="Z27" i="43"/>
  <c r="V27" i="43"/>
  <c r="R27" i="43"/>
  <c r="N27" i="43"/>
  <c r="J27" i="43"/>
  <c r="F27" i="43"/>
  <c r="B27" i="43"/>
  <c r="AT26" i="43"/>
  <c r="AP26" i="43"/>
  <c r="AL26" i="43"/>
  <c r="AH26" i="43"/>
  <c r="AD26" i="43"/>
  <c r="Z26" i="43"/>
  <c r="V26" i="43"/>
  <c r="R26" i="43"/>
  <c r="N26" i="43"/>
  <c r="J26" i="43"/>
  <c r="F26" i="43"/>
  <c r="B26" i="43"/>
  <c r="AT25" i="43"/>
  <c r="AP25" i="43"/>
  <c r="AL25" i="43"/>
  <c r="AH25" i="43"/>
  <c r="AD25" i="43"/>
  <c r="Z25" i="43"/>
  <c r="V25" i="43"/>
  <c r="R25" i="43"/>
  <c r="N25" i="43"/>
  <c r="J25" i="43"/>
  <c r="F25" i="43"/>
  <c r="B25" i="43"/>
  <c r="AT24" i="43"/>
  <c r="AP24" i="43"/>
  <c r="AL24" i="43"/>
  <c r="AH24" i="43"/>
  <c r="AD24" i="43"/>
  <c r="Z24" i="43"/>
  <c r="V24" i="43"/>
  <c r="R24" i="43"/>
  <c r="N24" i="43"/>
  <c r="J24" i="43"/>
  <c r="F24" i="43"/>
  <c r="B24" i="43"/>
  <c r="AT23" i="43"/>
  <c r="AP23" i="43"/>
  <c r="AL23" i="43"/>
  <c r="AH23" i="43"/>
  <c r="AD23" i="43"/>
  <c r="Z23" i="43"/>
  <c r="V23" i="43"/>
  <c r="R23" i="43"/>
  <c r="N23" i="43"/>
  <c r="J23" i="43"/>
  <c r="F23" i="43"/>
  <c r="B23" i="43"/>
  <c r="AT22" i="43"/>
  <c r="AP22" i="43"/>
  <c r="AL22" i="43"/>
  <c r="AH22" i="43"/>
  <c r="AD22" i="43"/>
  <c r="Z22" i="43"/>
  <c r="V22" i="43"/>
  <c r="R22" i="43"/>
  <c r="N22" i="43"/>
  <c r="J22" i="43"/>
  <c r="F22" i="43"/>
  <c r="B22" i="43"/>
  <c r="AT21" i="43"/>
  <c r="AP21" i="43"/>
  <c r="AL21" i="43"/>
  <c r="AH21" i="43"/>
  <c r="AD21" i="43"/>
  <c r="Z21" i="43"/>
  <c r="V21" i="43"/>
  <c r="R21" i="43"/>
  <c r="N21" i="43"/>
  <c r="J21" i="43"/>
  <c r="F21" i="43"/>
  <c r="B21" i="43"/>
  <c r="AT20" i="43"/>
  <c r="AP20" i="43"/>
  <c r="AL20" i="43"/>
  <c r="AH20" i="43"/>
  <c r="AD20" i="43"/>
  <c r="Z20" i="43"/>
  <c r="V20" i="43"/>
  <c r="R20" i="43"/>
  <c r="N20" i="43"/>
  <c r="J20" i="43"/>
  <c r="F20" i="43"/>
  <c r="B20" i="43"/>
  <c r="AT19" i="43"/>
  <c r="AP19" i="43"/>
  <c r="AL19" i="43"/>
  <c r="AH19" i="43"/>
  <c r="AD19" i="43"/>
  <c r="Z19" i="43"/>
  <c r="V19" i="43"/>
  <c r="R19" i="43"/>
  <c r="N19" i="43"/>
  <c r="J19" i="43"/>
  <c r="F19" i="43"/>
  <c r="B19" i="43"/>
  <c r="AT18" i="43"/>
  <c r="AP18" i="43"/>
  <c r="AL18" i="43"/>
  <c r="AH18" i="43"/>
  <c r="AD18" i="43"/>
  <c r="Z18" i="43"/>
  <c r="V18" i="43"/>
  <c r="R18" i="43"/>
  <c r="N18" i="43"/>
  <c r="J18" i="43"/>
  <c r="F18" i="43"/>
  <c r="B18" i="43"/>
  <c r="AT17" i="43"/>
  <c r="AP17" i="43"/>
  <c r="AL17" i="43"/>
  <c r="AH17" i="43"/>
  <c r="AD17" i="43"/>
  <c r="Z17" i="43"/>
  <c r="V17" i="43"/>
  <c r="R17" i="43"/>
  <c r="N17" i="43"/>
  <c r="J17" i="43"/>
  <c r="F17" i="43"/>
  <c r="B17" i="43"/>
  <c r="AT16" i="43"/>
  <c r="AP16" i="43"/>
  <c r="AL16" i="43"/>
  <c r="AH16" i="43"/>
  <c r="AD16" i="43"/>
  <c r="Z16" i="43"/>
  <c r="V16" i="43"/>
  <c r="R16" i="43"/>
  <c r="N16" i="43"/>
  <c r="J16" i="43"/>
  <c r="F16" i="43"/>
  <c r="B16" i="43"/>
  <c r="AT15" i="43"/>
  <c r="AP15" i="43"/>
  <c r="AL15" i="43"/>
  <c r="AH15" i="43"/>
  <c r="AD15" i="43"/>
  <c r="Z15" i="43"/>
  <c r="V15" i="43"/>
  <c r="R15" i="43"/>
  <c r="N15" i="43"/>
  <c r="J15" i="43"/>
  <c r="F15" i="43"/>
  <c r="B15" i="43"/>
  <c r="AT14" i="43"/>
  <c r="AP14" i="43"/>
  <c r="AL14" i="43"/>
  <c r="AH14" i="43"/>
  <c r="AD14" i="43"/>
  <c r="Z14" i="43"/>
  <c r="V14" i="43"/>
  <c r="R14" i="43"/>
  <c r="N14" i="43"/>
  <c r="J14" i="43"/>
  <c r="F14" i="43"/>
  <c r="B14" i="43"/>
  <c r="AT13" i="43"/>
  <c r="AP13" i="43"/>
  <c r="AL13" i="43"/>
  <c r="AH13" i="43"/>
  <c r="AD13" i="43"/>
  <c r="Z13" i="43"/>
  <c r="V13" i="43"/>
  <c r="R13" i="43"/>
  <c r="N13" i="43"/>
  <c r="J13" i="43"/>
  <c r="F13" i="43"/>
  <c r="B13" i="43"/>
  <c r="AT12" i="43"/>
  <c r="AP12" i="43"/>
  <c r="AL12" i="43"/>
  <c r="AH12" i="43"/>
  <c r="AD12" i="43"/>
  <c r="Z12" i="43"/>
  <c r="V12" i="43"/>
  <c r="R12" i="43"/>
  <c r="N12" i="43"/>
  <c r="J12" i="43"/>
  <c r="F12" i="43"/>
  <c r="B12" i="43"/>
  <c r="AT11" i="43"/>
  <c r="AP11" i="43"/>
  <c r="AL11" i="43"/>
  <c r="AH11" i="43"/>
  <c r="AD11" i="43"/>
  <c r="Z11" i="43"/>
  <c r="V11" i="43"/>
  <c r="R11" i="43"/>
  <c r="N11" i="43"/>
  <c r="J11" i="43"/>
  <c r="F11" i="43"/>
  <c r="B11" i="43"/>
  <c r="AT10" i="43"/>
  <c r="AP10" i="43"/>
  <c r="AL10" i="43"/>
  <c r="AH10" i="43"/>
  <c r="AD10" i="43"/>
  <c r="Z10" i="43"/>
  <c r="V10" i="43"/>
  <c r="R10" i="43"/>
  <c r="N10" i="43"/>
  <c r="J10" i="43"/>
  <c r="F10" i="43"/>
  <c r="B10" i="43"/>
  <c r="AT9" i="43"/>
  <c r="AP9" i="43"/>
  <c r="AL9" i="43"/>
  <c r="AH9" i="43"/>
  <c r="AD9" i="43"/>
  <c r="Z9" i="43"/>
  <c r="V9" i="43"/>
  <c r="R9" i="43"/>
  <c r="N9" i="43"/>
  <c r="J9" i="43"/>
  <c r="F9" i="43"/>
  <c r="B9" i="43"/>
  <c r="AT8" i="43"/>
  <c r="AP8" i="43"/>
  <c r="AL8" i="43"/>
  <c r="AH8" i="43"/>
  <c r="AD8" i="43"/>
  <c r="Z8" i="43"/>
  <c r="V8" i="43"/>
  <c r="R8" i="43"/>
  <c r="N8" i="43"/>
  <c r="J8" i="43"/>
  <c r="F8" i="43"/>
  <c r="B8" i="43"/>
  <c r="AH7" i="43"/>
  <c r="Z7" i="43"/>
  <c r="F7" i="43"/>
  <c r="B7" i="43"/>
  <c r="AT6" i="43"/>
  <c r="AP6" i="43"/>
  <c r="AL6" i="43"/>
  <c r="AH6" i="43"/>
  <c r="AD6" i="43"/>
  <c r="Z6" i="43"/>
  <c r="V6" i="43"/>
  <c r="R6" i="43"/>
  <c r="N6" i="43"/>
  <c r="J6" i="43"/>
  <c r="F6" i="43"/>
  <c r="B6" i="43"/>
  <c r="AT5" i="43"/>
  <c r="AP5" i="43"/>
  <c r="AL5" i="43"/>
  <c r="AH5" i="43"/>
  <c r="AD5" i="43"/>
  <c r="Z5" i="43"/>
  <c r="V5" i="43"/>
  <c r="R5" i="43"/>
  <c r="N5" i="43"/>
  <c r="J5" i="43"/>
  <c r="F5" i="43"/>
  <c r="B5" i="43"/>
  <c r="AT4" i="43"/>
  <c r="AP4" i="43"/>
  <c r="AL4" i="43"/>
  <c r="AH4" i="43"/>
  <c r="AD4" i="43"/>
  <c r="Z4" i="43"/>
  <c r="V4" i="43"/>
  <c r="R4" i="43"/>
  <c r="N4" i="43"/>
  <c r="J4" i="43"/>
  <c r="F4" i="43"/>
  <c r="B4" i="43"/>
  <c r="AT3" i="43"/>
  <c r="AP3" i="43"/>
  <c r="AL3" i="43"/>
  <c r="AH3" i="43"/>
  <c r="AD3" i="43"/>
  <c r="Z3" i="43"/>
  <c r="V3" i="43"/>
  <c r="R3" i="43"/>
  <c r="N3" i="43"/>
  <c r="J3" i="43"/>
  <c r="F3" i="43"/>
  <c r="B3" i="43"/>
  <c r="AT2" i="43"/>
  <c r="AP2" i="43"/>
  <c r="AL2" i="43"/>
  <c r="AH2" i="43"/>
  <c r="AD2" i="43"/>
  <c r="Z2" i="43"/>
  <c r="V2" i="43"/>
  <c r="N2" i="43"/>
  <c r="J2" i="43"/>
  <c r="F2" i="43"/>
  <c r="AQ35" i="40"/>
  <c r="AM35" i="40"/>
  <c r="AI35" i="40"/>
  <c r="AE35" i="40"/>
  <c r="AA35" i="40"/>
  <c r="W35" i="40"/>
  <c r="AV33" i="40"/>
  <c r="AU33" i="40"/>
  <c r="AR33" i="40"/>
  <c r="AQ33" i="40"/>
  <c r="AN33" i="40"/>
  <c r="AM33" i="40"/>
  <c r="AJ33" i="40"/>
  <c r="AI33" i="40"/>
  <c r="AF33" i="40"/>
  <c r="AE33" i="40"/>
  <c r="AB33" i="40"/>
  <c r="AA33" i="40"/>
  <c r="X33" i="40"/>
  <c r="W33" i="40"/>
  <c r="T33" i="40"/>
  <c r="S33" i="40"/>
  <c r="P33" i="40"/>
  <c r="O33" i="40"/>
  <c r="L33" i="40"/>
  <c r="K33" i="40"/>
  <c r="H33" i="40"/>
  <c r="G33" i="40"/>
  <c r="AT32" i="40"/>
  <c r="AL32" i="40"/>
  <c r="AD32" i="40"/>
  <c r="Z32" i="40"/>
  <c r="R32" i="40"/>
  <c r="N32" i="40"/>
  <c r="J32" i="40"/>
  <c r="B32" i="40"/>
  <c r="AT31" i="40"/>
  <c r="AP31" i="40"/>
  <c r="AL31" i="40"/>
  <c r="AH31" i="40"/>
  <c r="AD31" i="40"/>
  <c r="Z31" i="40"/>
  <c r="V31" i="40"/>
  <c r="R31" i="40"/>
  <c r="N31" i="40"/>
  <c r="J31" i="40"/>
  <c r="B31" i="40"/>
  <c r="AT30" i="40"/>
  <c r="AP30" i="40"/>
  <c r="AL30" i="40"/>
  <c r="AH30" i="40"/>
  <c r="AD30" i="40"/>
  <c r="Z30" i="40"/>
  <c r="V30" i="40"/>
  <c r="R30" i="40"/>
  <c r="N30" i="40"/>
  <c r="J30" i="40"/>
  <c r="B30" i="40"/>
  <c r="AT29" i="40"/>
  <c r="AP29" i="40"/>
  <c r="AL29" i="40"/>
  <c r="AH29" i="40"/>
  <c r="AD29" i="40"/>
  <c r="Z29" i="40"/>
  <c r="V29" i="40"/>
  <c r="R29" i="40"/>
  <c r="N29" i="40"/>
  <c r="J29" i="40"/>
  <c r="F29" i="40"/>
  <c r="B29" i="40"/>
  <c r="AT28" i="40"/>
  <c r="AP28" i="40"/>
  <c r="AL28" i="40"/>
  <c r="AH28" i="40"/>
  <c r="AD28" i="40"/>
  <c r="Z28" i="40"/>
  <c r="V28" i="40"/>
  <c r="R28" i="40"/>
  <c r="N28" i="40"/>
  <c r="J28" i="40"/>
  <c r="F28" i="40"/>
  <c r="B28" i="40"/>
  <c r="AT27" i="40"/>
  <c r="AP27" i="40"/>
  <c r="AL27" i="40"/>
  <c r="AH27" i="40"/>
  <c r="AD27" i="40"/>
  <c r="Z27" i="40"/>
  <c r="V27" i="40"/>
  <c r="R27" i="40"/>
  <c r="N27" i="40"/>
  <c r="J27" i="40"/>
  <c r="F27" i="40"/>
  <c r="B27" i="40"/>
  <c r="AT26" i="40"/>
  <c r="AP26" i="40"/>
  <c r="AL26" i="40"/>
  <c r="AH26" i="40"/>
  <c r="AD26" i="40"/>
  <c r="Z26" i="40"/>
  <c r="V26" i="40"/>
  <c r="R26" i="40"/>
  <c r="N26" i="40"/>
  <c r="J26" i="40"/>
  <c r="F26" i="40"/>
  <c r="B26" i="40"/>
  <c r="AT25" i="40"/>
  <c r="AP25" i="40"/>
  <c r="AL25" i="40"/>
  <c r="AH25" i="40"/>
  <c r="AD25" i="40"/>
  <c r="Z25" i="40"/>
  <c r="V25" i="40"/>
  <c r="R25" i="40"/>
  <c r="N25" i="40"/>
  <c r="J25" i="40"/>
  <c r="F25" i="40"/>
  <c r="B25" i="40"/>
  <c r="AT24" i="40"/>
  <c r="AP24" i="40"/>
  <c r="AL24" i="40"/>
  <c r="AH24" i="40"/>
  <c r="AD24" i="40"/>
  <c r="Z24" i="40"/>
  <c r="V24" i="40"/>
  <c r="R24" i="40"/>
  <c r="N24" i="40"/>
  <c r="J24" i="40"/>
  <c r="F24" i="40"/>
  <c r="B24" i="40"/>
  <c r="AT23" i="40"/>
  <c r="AP23" i="40"/>
  <c r="AL23" i="40"/>
  <c r="AH23" i="40"/>
  <c r="AD23" i="40"/>
  <c r="Z23" i="40"/>
  <c r="V23" i="40"/>
  <c r="R23" i="40"/>
  <c r="N23" i="40"/>
  <c r="J23" i="40"/>
  <c r="F23" i="40"/>
  <c r="B23" i="40"/>
  <c r="AT22" i="40"/>
  <c r="AP22" i="40"/>
  <c r="AL22" i="40"/>
  <c r="AH22" i="40"/>
  <c r="AD22" i="40"/>
  <c r="Z22" i="40"/>
  <c r="V22" i="40"/>
  <c r="R22" i="40"/>
  <c r="N22" i="40"/>
  <c r="J22" i="40"/>
  <c r="F22" i="40"/>
  <c r="B22" i="40"/>
  <c r="AT21" i="40"/>
  <c r="AP21" i="40"/>
  <c r="AL21" i="40"/>
  <c r="AH21" i="40"/>
  <c r="AD21" i="40"/>
  <c r="Z21" i="40"/>
  <c r="V21" i="40"/>
  <c r="R21" i="40"/>
  <c r="N21" i="40"/>
  <c r="J21" i="40"/>
  <c r="F21" i="40"/>
  <c r="B21" i="40"/>
  <c r="AT20" i="40"/>
  <c r="AP20" i="40"/>
  <c r="AL20" i="40"/>
  <c r="AH20" i="40"/>
  <c r="AD20" i="40"/>
  <c r="Z20" i="40"/>
  <c r="V20" i="40"/>
  <c r="R20" i="40"/>
  <c r="N20" i="40"/>
  <c r="J20" i="40"/>
  <c r="F20" i="40"/>
  <c r="B20" i="40"/>
  <c r="AT19" i="40"/>
  <c r="AP19" i="40"/>
  <c r="AL19" i="40"/>
  <c r="AH19" i="40"/>
  <c r="AD19" i="40"/>
  <c r="Z19" i="40"/>
  <c r="V19" i="40"/>
  <c r="R19" i="40"/>
  <c r="N19" i="40"/>
  <c r="J19" i="40"/>
  <c r="F19" i="40"/>
  <c r="B19" i="40"/>
  <c r="AT18" i="40"/>
  <c r="AP18" i="40"/>
  <c r="AL18" i="40"/>
  <c r="AH18" i="40"/>
  <c r="AD18" i="40"/>
  <c r="Z18" i="40"/>
  <c r="V18" i="40"/>
  <c r="R18" i="40"/>
  <c r="N18" i="40"/>
  <c r="J18" i="40"/>
  <c r="F18" i="40"/>
  <c r="B18" i="40"/>
  <c r="AT17" i="40"/>
  <c r="AP17" i="40"/>
  <c r="AL17" i="40"/>
  <c r="AH17" i="40"/>
  <c r="AD17" i="40"/>
  <c r="Z17" i="40"/>
  <c r="V17" i="40"/>
  <c r="R17" i="40"/>
  <c r="N17" i="40"/>
  <c r="J17" i="40"/>
  <c r="F17" i="40"/>
  <c r="B17" i="40"/>
  <c r="AT16" i="40"/>
  <c r="AP16" i="40"/>
  <c r="AL16" i="40"/>
  <c r="AH16" i="40"/>
  <c r="AD16" i="40"/>
  <c r="Z16" i="40"/>
  <c r="V16" i="40"/>
  <c r="R16" i="40"/>
  <c r="N16" i="40"/>
  <c r="J16" i="40"/>
  <c r="F16" i="40"/>
  <c r="B16" i="40"/>
  <c r="AT15" i="40"/>
  <c r="AP15" i="40"/>
  <c r="AL15" i="40"/>
  <c r="AH15" i="40"/>
  <c r="AD15" i="40"/>
  <c r="Z15" i="40"/>
  <c r="V15" i="40"/>
  <c r="R15" i="40"/>
  <c r="N15" i="40"/>
  <c r="J15" i="40"/>
  <c r="F15" i="40"/>
  <c r="B15" i="40"/>
  <c r="AT14" i="40"/>
  <c r="AP14" i="40"/>
  <c r="AL14" i="40"/>
  <c r="AH14" i="40"/>
  <c r="AD14" i="40"/>
  <c r="Z14" i="40"/>
  <c r="V14" i="40"/>
  <c r="R14" i="40"/>
  <c r="N14" i="40"/>
  <c r="J14" i="40"/>
  <c r="F14" i="40"/>
  <c r="B14" i="40"/>
  <c r="AT13" i="40"/>
  <c r="AP13" i="40"/>
  <c r="AL13" i="40"/>
  <c r="AH13" i="40"/>
  <c r="AD13" i="40"/>
  <c r="Z13" i="40"/>
  <c r="V13" i="40"/>
  <c r="R13" i="40"/>
  <c r="N13" i="40"/>
  <c r="J13" i="40"/>
  <c r="F13" i="40"/>
  <c r="B13" i="40"/>
  <c r="AT12" i="40"/>
  <c r="AP12" i="40"/>
  <c r="AL12" i="40"/>
  <c r="AH12" i="40"/>
  <c r="AD12" i="40"/>
  <c r="Z12" i="40"/>
  <c r="V12" i="40"/>
  <c r="R12" i="40"/>
  <c r="N12" i="40"/>
  <c r="J12" i="40"/>
  <c r="F12" i="40"/>
  <c r="B12" i="40"/>
  <c r="AT11" i="40"/>
  <c r="AP11" i="40"/>
  <c r="AL11" i="40"/>
  <c r="AH11" i="40"/>
  <c r="AD11" i="40"/>
  <c r="Z11" i="40"/>
  <c r="V11" i="40"/>
  <c r="R11" i="40"/>
  <c r="N11" i="40"/>
  <c r="J11" i="40"/>
  <c r="F11" i="40"/>
  <c r="B11" i="40"/>
  <c r="AT10" i="40"/>
  <c r="AP10" i="40"/>
  <c r="AL10" i="40"/>
  <c r="AH10" i="40"/>
  <c r="AD10" i="40"/>
  <c r="Z10" i="40"/>
  <c r="V10" i="40"/>
  <c r="R10" i="40"/>
  <c r="N10" i="40"/>
  <c r="J10" i="40"/>
  <c r="F10" i="40"/>
  <c r="B10" i="40"/>
  <c r="AT9" i="40"/>
  <c r="AP9" i="40"/>
  <c r="AL9" i="40"/>
  <c r="AH9" i="40"/>
  <c r="AD9" i="40"/>
  <c r="Z9" i="40"/>
  <c r="V9" i="40"/>
  <c r="R9" i="40"/>
  <c r="N9" i="40"/>
  <c r="J9" i="40"/>
  <c r="F9" i="40"/>
  <c r="B9" i="40"/>
  <c r="AT8" i="40"/>
  <c r="AP8" i="40"/>
  <c r="AL8" i="40"/>
  <c r="AH8" i="40"/>
  <c r="AD8" i="40"/>
  <c r="Z8" i="40"/>
  <c r="V8" i="40"/>
  <c r="R8" i="40"/>
  <c r="N8" i="40"/>
  <c r="J8" i="40"/>
  <c r="F8" i="40"/>
  <c r="B8" i="40"/>
  <c r="AH7" i="40"/>
  <c r="Z7" i="40"/>
  <c r="F7" i="40"/>
  <c r="B7" i="40"/>
  <c r="AT6" i="40"/>
  <c r="AP6" i="40"/>
  <c r="AL6" i="40"/>
  <c r="AH6" i="40"/>
  <c r="AD6" i="40"/>
  <c r="Z6" i="40"/>
  <c r="V6" i="40"/>
  <c r="R6" i="40"/>
  <c r="N6" i="40"/>
  <c r="J6" i="40"/>
  <c r="F6" i="40"/>
  <c r="B6" i="40"/>
  <c r="AT5" i="40"/>
  <c r="AP5" i="40"/>
  <c r="AL5" i="40"/>
  <c r="AH5" i="40"/>
  <c r="AD5" i="40"/>
  <c r="Z5" i="40"/>
  <c r="V5" i="40"/>
  <c r="R5" i="40"/>
  <c r="N5" i="40"/>
  <c r="J5" i="40"/>
  <c r="F5" i="40"/>
  <c r="B5" i="40"/>
  <c r="AT4" i="40"/>
  <c r="AP4" i="40"/>
  <c r="AL4" i="40"/>
  <c r="AH4" i="40"/>
  <c r="AD4" i="40"/>
  <c r="Z4" i="40"/>
  <c r="V4" i="40"/>
  <c r="R4" i="40"/>
  <c r="N4" i="40"/>
  <c r="J4" i="40"/>
  <c r="F4" i="40"/>
  <c r="B4" i="40"/>
  <c r="AT3" i="40"/>
  <c r="AP3" i="40"/>
  <c r="AL3" i="40"/>
  <c r="AH3" i="40"/>
  <c r="AD3" i="40"/>
  <c r="Z3" i="40"/>
  <c r="V3" i="40"/>
  <c r="R3" i="40"/>
  <c r="N3" i="40"/>
  <c r="J3" i="40"/>
  <c r="F3" i="40"/>
  <c r="B3" i="40"/>
  <c r="AT2" i="40"/>
  <c r="AP2" i="40"/>
  <c r="AL2" i="40"/>
  <c r="AH2" i="40"/>
  <c r="AD2" i="40"/>
  <c r="Z2" i="40"/>
  <c r="V2" i="40"/>
  <c r="N2" i="40"/>
  <c r="J2" i="40"/>
  <c r="F2" i="40"/>
  <c r="AQ35" i="39"/>
  <c r="AM35" i="39"/>
  <c r="AI35" i="39"/>
  <c r="AE35" i="39"/>
  <c r="AA35" i="39"/>
  <c r="W35" i="39"/>
  <c r="AV33" i="39"/>
  <c r="AU33" i="39"/>
  <c r="AR33" i="39"/>
  <c r="AQ33" i="39"/>
  <c r="AN33" i="39"/>
  <c r="AM33" i="39"/>
  <c r="AJ33" i="39"/>
  <c r="AI33" i="39"/>
  <c r="AF33" i="39"/>
  <c r="AE33" i="39"/>
  <c r="AB33" i="39"/>
  <c r="AA33" i="39"/>
  <c r="X33" i="39"/>
  <c r="W33" i="39"/>
  <c r="T33" i="39"/>
  <c r="S33" i="39"/>
  <c r="P33" i="39"/>
  <c r="O33" i="39"/>
  <c r="L33" i="39"/>
  <c r="K33" i="39"/>
  <c r="H33" i="39"/>
  <c r="G33" i="39"/>
  <c r="AT32" i="39"/>
  <c r="AL32" i="39"/>
  <c r="AD32" i="39"/>
  <c r="Z32" i="39"/>
  <c r="R32" i="39"/>
  <c r="N32" i="39"/>
  <c r="J32" i="39"/>
  <c r="B32" i="39"/>
  <c r="AT31" i="39"/>
  <c r="AP31" i="39"/>
  <c r="AL31" i="39"/>
  <c r="AH31" i="39"/>
  <c r="AD31" i="39"/>
  <c r="Z31" i="39"/>
  <c r="V31" i="39"/>
  <c r="R31" i="39"/>
  <c r="N31" i="39"/>
  <c r="J31" i="39"/>
  <c r="B31" i="39"/>
  <c r="AT30" i="39"/>
  <c r="AP30" i="39"/>
  <c r="AL30" i="39"/>
  <c r="AH30" i="39"/>
  <c r="AD30" i="39"/>
  <c r="Z30" i="39"/>
  <c r="V30" i="39"/>
  <c r="R30" i="39"/>
  <c r="N30" i="39"/>
  <c r="J30" i="39"/>
  <c r="B30" i="39"/>
  <c r="AT29" i="39"/>
  <c r="AP29" i="39"/>
  <c r="AL29" i="39"/>
  <c r="AH29" i="39"/>
  <c r="AD29" i="39"/>
  <c r="Z29" i="39"/>
  <c r="V29" i="39"/>
  <c r="R29" i="39"/>
  <c r="N29" i="39"/>
  <c r="J29" i="39"/>
  <c r="F29" i="39"/>
  <c r="B29" i="39"/>
  <c r="AT28" i="39"/>
  <c r="AP28" i="39"/>
  <c r="AL28" i="39"/>
  <c r="AH28" i="39"/>
  <c r="AD28" i="39"/>
  <c r="Z28" i="39"/>
  <c r="V28" i="39"/>
  <c r="R28" i="39"/>
  <c r="N28" i="39"/>
  <c r="J28" i="39"/>
  <c r="F28" i="39"/>
  <c r="B28" i="39"/>
  <c r="AT27" i="39"/>
  <c r="AP27" i="39"/>
  <c r="AL27" i="39"/>
  <c r="AH27" i="39"/>
  <c r="AD27" i="39"/>
  <c r="Z27" i="39"/>
  <c r="V27" i="39"/>
  <c r="R27" i="39"/>
  <c r="N27" i="39"/>
  <c r="J27" i="39"/>
  <c r="F27" i="39"/>
  <c r="B27" i="39"/>
  <c r="AT26" i="39"/>
  <c r="AP26" i="39"/>
  <c r="AL26" i="39"/>
  <c r="AH26" i="39"/>
  <c r="AD26" i="39"/>
  <c r="Z26" i="39"/>
  <c r="V26" i="39"/>
  <c r="R26" i="39"/>
  <c r="N26" i="39"/>
  <c r="J26" i="39"/>
  <c r="F26" i="39"/>
  <c r="B26" i="39"/>
  <c r="AT25" i="39"/>
  <c r="AP25" i="39"/>
  <c r="AL25" i="39"/>
  <c r="AH25" i="39"/>
  <c r="AD25" i="39"/>
  <c r="Z25" i="39"/>
  <c r="V25" i="39"/>
  <c r="R25" i="39"/>
  <c r="N25" i="39"/>
  <c r="J25" i="39"/>
  <c r="F25" i="39"/>
  <c r="B25" i="39"/>
  <c r="AT24" i="39"/>
  <c r="AP24" i="39"/>
  <c r="AL24" i="39"/>
  <c r="AH24" i="39"/>
  <c r="AD24" i="39"/>
  <c r="Z24" i="39"/>
  <c r="V24" i="39"/>
  <c r="R24" i="39"/>
  <c r="N24" i="39"/>
  <c r="J24" i="39"/>
  <c r="F24" i="39"/>
  <c r="B24" i="39"/>
  <c r="AT23" i="39"/>
  <c r="AP23" i="39"/>
  <c r="AL23" i="39"/>
  <c r="AH23" i="39"/>
  <c r="AD23" i="39"/>
  <c r="Z23" i="39"/>
  <c r="V23" i="39"/>
  <c r="R23" i="39"/>
  <c r="N23" i="39"/>
  <c r="J23" i="39"/>
  <c r="F23" i="39"/>
  <c r="B23" i="39"/>
  <c r="AT22" i="39"/>
  <c r="AP22" i="39"/>
  <c r="AL22" i="39"/>
  <c r="AH22" i="39"/>
  <c r="AD22" i="39"/>
  <c r="Z22" i="39"/>
  <c r="V22" i="39"/>
  <c r="R22" i="39"/>
  <c r="N22" i="39"/>
  <c r="J22" i="39"/>
  <c r="F22" i="39"/>
  <c r="B22" i="39"/>
  <c r="AT21" i="39"/>
  <c r="AP21" i="39"/>
  <c r="AL21" i="39"/>
  <c r="AH21" i="39"/>
  <c r="AD21" i="39"/>
  <c r="Z21" i="39"/>
  <c r="V21" i="39"/>
  <c r="R21" i="39"/>
  <c r="N21" i="39"/>
  <c r="J21" i="39"/>
  <c r="F21" i="39"/>
  <c r="B21" i="39"/>
  <c r="AT20" i="39"/>
  <c r="AP20" i="39"/>
  <c r="AL20" i="39"/>
  <c r="AH20" i="39"/>
  <c r="AD20" i="39"/>
  <c r="Z20" i="39"/>
  <c r="V20" i="39"/>
  <c r="R20" i="39"/>
  <c r="N20" i="39"/>
  <c r="J20" i="39"/>
  <c r="F20" i="39"/>
  <c r="B20" i="39"/>
  <c r="AT19" i="39"/>
  <c r="AP19" i="39"/>
  <c r="AL19" i="39"/>
  <c r="AH19" i="39"/>
  <c r="AD19" i="39"/>
  <c r="Z19" i="39"/>
  <c r="V19" i="39"/>
  <c r="R19" i="39"/>
  <c r="N19" i="39"/>
  <c r="J19" i="39"/>
  <c r="F19" i="39"/>
  <c r="B19" i="39"/>
  <c r="AT18" i="39"/>
  <c r="AP18" i="39"/>
  <c r="AL18" i="39"/>
  <c r="AH18" i="39"/>
  <c r="AD18" i="39"/>
  <c r="Z18" i="39"/>
  <c r="V18" i="39"/>
  <c r="R18" i="39"/>
  <c r="N18" i="39"/>
  <c r="J18" i="39"/>
  <c r="F18" i="39"/>
  <c r="B18" i="39"/>
  <c r="AT17" i="39"/>
  <c r="AP17" i="39"/>
  <c r="AL17" i="39"/>
  <c r="AH17" i="39"/>
  <c r="AD17" i="39"/>
  <c r="Z17" i="39"/>
  <c r="V17" i="39"/>
  <c r="R17" i="39"/>
  <c r="N17" i="39"/>
  <c r="J17" i="39"/>
  <c r="F17" i="39"/>
  <c r="B17" i="39"/>
  <c r="AT16" i="39"/>
  <c r="AP16" i="39"/>
  <c r="AL16" i="39"/>
  <c r="AH16" i="39"/>
  <c r="AD16" i="39"/>
  <c r="Z16" i="39"/>
  <c r="V16" i="39"/>
  <c r="R16" i="39"/>
  <c r="N16" i="39"/>
  <c r="J16" i="39"/>
  <c r="F16" i="39"/>
  <c r="B16" i="39"/>
  <c r="AT15" i="39"/>
  <c r="AP15" i="39"/>
  <c r="AL15" i="39"/>
  <c r="AH15" i="39"/>
  <c r="AD15" i="39"/>
  <c r="Z15" i="39"/>
  <c r="V15" i="39"/>
  <c r="R15" i="39"/>
  <c r="N15" i="39"/>
  <c r="J15" i="39"/>
  <c r="F15" i="39"/>
  <c r="B15" i="39"/>
  <c r="AT14" i="39"/>
  <c r="AP14" i="39"/>
  <c r="AL14" i="39"/>
  <c r="AH14" i="39"/>
  <c r="AD14" i="39"/>
  <c r="Z14" i="39"/>
  <c r="V14" i="39"/>
  <c r="R14" i="39"/>
  <c r="N14" i="39"/>
  <c r="J14" i="39"/>
  <c r="F14" i="39"/>
  <c r="B14" i="39"/>
  <c r="AT13" i="39"/>
  <c r="AP13" i="39"/>
  <c r="AL13" i="39"/>
  <c r="AH13" i="39"/>
  <c r="AD13" i="39"/>
  <c r="Z13" i="39"/>
  <c r="V13" i="39"/>
  <c r="R13" i="39"/>
  <c r="N13" i="39"/>
  <c r="J13" i="39"/>
  <c r="F13" i="39"/>
  <c r="B13" i="39"/>
  <c r="AT12" i="39"/>
  <c r="AP12" i="39"/>
  <c r="AL12" i="39"/>
  <c r="AH12" i="39"/>
  <c r="AD12" i="39"/>
  <c r="Z12" i="39"/>
  <c r="V12" i="39"/>
  <c r="R12" i="39"/>
  <c r="N12" i="39"/>
  <c r="J12" i="39"/>
  <c r="F12" i="39"/>
  <c r="B12" i="39"/>
  <c r="AT11" i="39"/>
  <c r="AP11" i="39"/>
  <c r="AL11" i="39"/>
  <c r="AH11" i="39"/>
  <c r="AD11" i="39"/>
  <c r="Z11" i="39"/>
  <c r="V11" i="39"/>
  <c r="R11" i="39"/>
  <c r="N11" i="39"/>
  <c r="J11" i="39"/>
  <c r="F11" i="39"/>
  <c r="B11" i="39"/>
  <c r="AT10" i="39"/>
  <c r="AP10" i="39"/>
  <c r="AL10" i="39"/>
  <c r="AH10" i="39"/>
  <c r="AD10" i="39"/>
  <c r="Z10" i="39"/>
  <c r="V10" i="39"/>
  <c r="R10" i="39"/>
  <c r="N10" i="39"/>
  <c r="J10" i="39"/>
  <c r="F10" i="39"/>
  <c r="B10" i="39"/>
  <c r="AT9" i="39"/>
  <c r="AP9" i="39"/>
  <c r="AL9" i="39"/>
  <c r="AH9" i="39"/>
  <c r="AD9" i="39"/>
  <c r="Z9" i="39"/>
  <c r="V9" i="39"/>
  <c r="R9" i="39"/>
  <c r="N9" i="39"/>
  <c r="J9" i="39"/>
  <c r="F9" i="39"/>
  <c r="B9" i="39"/>
  <c r="AT8" i="39"/>
  <c r="AP8" i="39"/>
  <c r="AL8" i="39"/>
  <c r="AH8" i="39"/>
  <c r="AD8" i="39"/>
  <c r="Z8" i="39"/>
  <c r="V8" i="39"/>
  <c r="R8" i="39"/>
  <c r="N8" i="39"/>
  <c r="J8" i="39"/>
  <c r="F8" i="39"/>
  <c r="B8" i="39"/>
  <c r="AH7" i="39"/>
  <c r="Z7" i="39"/>
  <c r="F7" i="39"/>
  <c r="B7" i="39"/>
  <c r="AT6" i="39"/>
  <c r="AP6" i="39"/>
  <c r="AL6" i="39"/>
  <c r="AH6" i="39"/>
  <c r="AD6" i="39"/>
  <c r="Z6" i="39"/>
  <c r="V6" i="39"/>
  <c r="R6" i="39"/>
  <c r="N6" i="39"/>
  <c r="J6" i="39"/>
  <c r="F6" i="39"/>
  <c r="B6" i="39"/>
  <c r="AT5" i="39"/>
  <c r="AP5" i="39"/>
  <c r="AL5" i="39"/>
  <c r="AH5" i="39"/>
  <c r="AD5" i="39"/>
  <c r="Z5" i="39"/>
  <c r="V5" i="39"/>
  <c r="R5" i="39"/>
  <c r="N5" i="39"/>
  <c r="J5" i="39"/>
  <c r="F5" i="39"/>
  <c r="B5" i="39"/>
  <c r="AT4" i="39"/>
  <c r="AP4" i="39"/>
  <c r="AL4" i="39"/>
  <c r="AH4" i="39"/>
  <c r="AD4" i="39"/>
  <c r="Z4" i="39"/>
  <c r="V4" i="39"/>
  <c r="R4" i="39"/>
  <c r="N4" i="39"/>
  <c r="J4" i="39"/>
  <c r="F4" i="39"/>
  <c r="B4" i="39"/>
  <c r="AT3" i="39"/>
  <c r="AP3" i="39"/>
  <c r="AL3" i="39"/>
  <c r="AH3" i="39"/>
  <c r="AD3" i="39"/>
  <c r="Z3" i="39"/>
  <c r="V3" i="39"/>
  <c r="R3" i="39"/>
  <c r="N3" i="39"/>
  <c r="J3" i="39"/>
  <c r="F3" i="39"/>
  <c r="B3" i="39"/>
  <c r="AT2" i="39"/>
  <c r="AP2" i="39"/>
  <c r="AL2" i="39"/>
  <c r="AH2" i="39"/>
  <c r="AD2" i="39"/>
  <c r="Z2" i="39"/>
  <c r="V2" i="39"/>
  <c r="N2" i="39"/>
  <c r="J2" i="39"/>
  <c r="F2" i="39"/>
  <c r="O36" i="38"/>
  <c r="K36" i="38"/>
  <c r="AQ35" i="38"/>
  <c r="AM35" i="38"/>
  <c r="AI35" i="38"/>
  <c r="AE35" i="38"/>
  <c r="AA35" i="38"/>
  <c r="W35" i="38"/>
  <c r="AV33" i="38"/>
  <c r="AU33" i="38"/>
  <c r="AR33" i="38"/>
  <c r="AQ33" i="38"/>
  <c r="AN33" i="38"/>
  <c r="AM33" i="38"/>
  <c r="AJ33" i="38"/>
  <c r="AI33" i="38"/>
  <c r="AF33" i="38"/>
  <c r="AE33" i="38"/>
  <c r="AB33" i="38"/>
  <c r="AA33" i="38"/>
  <c r="X33" i="38"/>
  <c r="W33" i="38"/>
  <c r="T33" i="38"/>
  <c r="S33" i="38"/>
  <c r="P33" i="38"/>
  <c r="O33" i="38"/>
  <c r="L33" i="38"/>
  <c r="K33" i="38"/>
  <c r="H33" i="38"/>
  <c r="G33" i="38"/>
  <c r="AT32" i="38"/>
  <c r="AL32" i="38"/>
  <c r="AD32" i="38"/>
  <c r="Z32" i="38"/>
  <c r="R32" i="38"/>
  <c r="N32" i="38"/>
  <c r="J32" i="38"/>
  <c r="B32" i="38"/>
  <c r="AT31" i="38"/>
  <c r="AP31" i="38"/>
  <c r="AL31" i="38"/>
  <c r="AH31" i="38"/>
  <c r="AD31" i="38"/>
  <c r="Z31" i="38"/>
  <c r="V31" i="38"/>
  <c r="R31" i="38"/>
  <c r="N31" i="38"/>
  <c r="J31" i="38"/>
  <c r="B31" i="38"/>
  <c r="AT30" i="38"/>
  <c r="AP30" i="38"/>
  <c r="AL30" i="38"/>
  <c r="AH30" i="38"/>
  <c r="AD30" i="38"/>
  <c r="Z30" i="38"/>
  <c r="V30" i="38"/>
  <c r="R30" i="38"/>
  <c r="N30" i="38"/>
  <c r="J30" i="38"/>
  <c r="B30" i="38"/>
  <c r="AT29" i="38"/>
  <c r="AP29" i="38"/>
  <c r="AL29" i="38"/>
  <c r="AH29" i="38"/>
  <c r="AD29" i="38"/>
  <c r="Z29" i="38"/>
  <c r="V29" i="38"/>
  <c r="R29" i="38"/>
  <c r="N29" i="38"/>
  <c r="J29" i="38"/>
  <c r="F29" i="38"/>
  <c r="B29" i="38"/>
  <c r="AT28" i="38"/>
  <c r="AP28" i="38"/>
  <c r="AL28" i="38"/>
  <c r="AH28" i="38"/>
  <c r="AD28" i="38"/>
  <c r="Z28" i="38"/>
  <c r="V28" i="38"/>
  <c r="R28" i="38"/>
  <c r="N28" i="38"/>
  <c r="J28" i="38"/>
  <c r="F28" i="38"/>
  <c r="B28" i="38"/>
  <c r="AT27" i="38"/>
  <c r="AP27" i="38"/>
  <c r="AL27" i="38"/>
  <c r="AH27" i="38"/>
  <c r="AD27" i="38"/>
  <c r="Z27" i="38"/>
  <c r="V27" i="38"/>
  <c r="R27" i="38"/>
  <c r="N27" i="38"/>
  <c r="J27" i="38"/>
  <c r="F27" i="38"/>
  <c r="B27" i="38"/>
  <c r="AT26" i="38"/>
  <c r="AP26" i="38"/>
  <c r="AL26" i="38"/>
  <c r="AH26" i="38"/>
  <c r="AD26" i="38"/>
  <c r="Z26" i="38"/>
  <c r="V26" i="38"/>
  <c r="R26" i="38"/>
  <c r="N26" i="38"/>
  <c r="J26" i="38"/>
  <c r="F26" i="38"/>
  <c r="B26" i="38"/>
  <c r="AT25" i="38"/>
  <c r="AP25" i="38"/>
  <c r="AL25" i="38"/>
  <c r="AH25" i="38"/>
  <c r="AD25" i="38"/>
  <c r="Z25" i="38"/>
  <c r="V25" i="38"/>
  <c r="R25" i="38"/>
  <c r="N25" i="38"/>
  <c r="J25" i="38"/>
  <c r="F25" i="38"/>
  <c r="B25" i="38"/>
  <c r="AT24" i="38"/>
  <c r="AP24" i="38"/>
  <c r="AL24" i="38"/>
  <c r="AH24" i="38"/>
  <c r="AD24" i="38"/>
  <c r="Z24" i="38"/>
  <c r="V24" i="38"/>
  <c r="R24" i="38"/>
  <c r="N24" i="38"/>
  <c r="J24" i="38"/>
  <c r="F24" i="38"/>
  <c r="B24" i="38"/>
  <c r="AT23" i="38"/>
  <c r="AP23" i="38"/>
  <c r="AL23" i="38"/>
  <c r="AH23" i="38"/>
  <c r="AD23" i="38"/>
  <c r="Z23" i="38"/>
  <c r="V23" i="38"/>
  <c r="R23" i="38"/>
  <c r="N23" i="38"/>
  <c r="J23" i="38"/>
  <c r="F23" i="38"/>
  <c r="B23" i="38"/>
  <c r="AT22" i="38"/>
  <c r="AP22" i="38"/>
  <c r="AL22" i="38"/>
  <c r="AH22" i="38"/>
  <c r="AD22" i="38"/>
  <c r="Z22" i="38"/>
  <c r="V22" i="38"/>
  <c r="R22" i="38"/>
  <c r="N22" i="38"/>
  <c r="J22" i="38"/>
  <c r="F22" i="38"/>
  <c r="B22" i="38"/>
  <c r="AT21" i="38"/>
  <c r="AP21" i="38"/>
  <c r="AL21" i="38"/>
  <c r="AH21" i="38"/>
  <c r="AD21" i="38"/>
  <c r="Z21" i="38"/>
  <c r="V21" i="38"/>
  <c r="R21" i="38"/>
  <c r="N21" i="38"/>
  <c r="J21" i="38"/>
  <c r="F21" i="38"/>
  <c r="B21" i="38"/>
  <c r="AT20" i="38"/>
  <c r="AP20" i="38"/>
  <c r="AL20" i="38"/>
  <c r="AH20" i="38"/>
  <c r="AD20" i="38"/>
  <c r="Z20" i="38"/>
  <c r="V20" i="38"/>
  <c r="R20" i="38"/>
  <c r="N20" i="38"/>
  <c r="J20" i="38"/>
  <c r="F20" i="38"/>
  <c r="B20" i="38"/>
  <c r="AT19" i="38"/>
  <c r="AP19" i="38"/>
  <c r="AL19" i="38"/>
  <c r="AH19" i="38"/>
  <c r="AD19" i="38"/>
  <c r="Z19" i="38"/>
  <c r="V19" i="38"/>
  <c r="R19" i="38"/>
  <c r="N19" i="38"/>
  <c r="J19" i="38"/>
  <c r="F19" i="38"/>
  <c r="B19" i="38"/>
  <c r="AT18" i="38"/>
  <c r="AP18" i="38"/>
  <c r="AL18" i="38"/>
  <c r="AH18" i="38"/>
  <c r="AD18" i="38"/>
  <c r="Z18" i="38"/>
  <c r="V18" i="38"/>
  <c r="R18" i="38"/>
  <c r="N18" i="38"/>
  <c r="J18" i="38"/>
  <c r="F18" i="38"/>
  <c r="B18" i="38"/>
  <c r="AT17" i="38"/>
  <c r="AP17" i="38"/>
  <c r="AL17" i="38"/>
  <c r="AH17" i="38"/>
  <c r="AD17" i="38"/>
  <c r="Z17" i="38"/>
  <c r="V17" i="38"/>
  <c r="R17" i="38"/>
  <c r="N17" i="38"/>
  <c r="J17" i="38"/>
  <c r="F17" i="38"/>
  <c r="B17" i="38"/>
  <c r="AT16" i="38"/>
  <c r="AP16" i="38"/>
  <c r="AL16" i="38"/>
  <c r="AH16" i="38"/>
  <c r="AD16" i="38"/>
  <c r="Z16" i="38"/>
  <c r="V16" i="38"/>
  <c r="R16" i="38"/>
  <c r="N16" i="38"/>
  <c r="J16" i="38"/>
  <c r="F16" i="38"/>
  <c r="B16" i="38"/>
  <c r="AT15" i="38"/>
  <c r="AP15" i="38"/>
  <c r="AL15" i="38"/>
  <c r="AH15" i="38"/>
  <c r="AD15" i="38"/>
  <c r="Z15" i="38"/>
  <c r="V15" i="38"/>
  <c r="R15" i="38"/>
  <c r="N15" i="38"/>
  <c r="J15" i="38"/>
  <c r="F15" i="38"/>
  <c r="B15" i="38"/>
  <c r="AT14" i="38"/>
  <c r="AP14" i="38"/>
  <c r="AL14" i="38"/>
  <c r="AH14" i="38"/>
  <c r="AD14" i="38"/>
  <c r="Z14" i="38"/>
  <c r="V14" i="38"/>
  <c r="R14" i="38"/>
  <c r="N14" i="38"/>
  <c r="J14" i="38"/>
  <c r="F14" i="38"/>
  <c r="B14" i="38"/>
  <c r="AT13" i="38"/>
  <c r="AP13" i="38"/>
  <c r="AL13" i="38"/>
  <c r="AH13" i="38"/>
  <c r="AD13" i="38"/>
  <c r="Z13" i="38"/>
  <c r="V13" i="38"/>
  <c r="R13" i="38"/>
  <c r="N13" i="38"/>
  <c r="J13" i="38"/>
  <c r="F13" i="38"/>
  <c r="B13" i="38"/>
  <c r="AT12" i="38"/>
  <c r="AP12" i="38"/>
  <c r="AL12" i="38"/>
  <c r="AH12" i="38"/>
  <c r="AD12" i="38"/>
  <c r="Z12" i="38"/>
  <c r="V12" i="38"/>
  <c r="R12" i="38"/>
  <c r="N12" i="38"/>
  <c r="J12" i="38"/>
  <c r="F12" i="38"/>
  <c r="B12" i="38"/>
  <c r="AT11" i="38"/>
  <c r="AP11" i="38"/>
  <c r="AL11" i="38"/>
  <c r="AH11" i="38"/>
  <c r="AD11" i="38"/>
  <c r="Z11" i="38"/>
  <c r="V11" i="38"/>
  <c r="R11" i="38"/>
  <c r="N11" i="38"/>
  <c r="J11" i="38"/>
  <c r="F11" i="38"/>
  <c r="B11" i="38"/>
  <c r="AT10" i="38"/>
  <c r="AP10" i="38"/>
  <c r="AL10" i="38"/>
  <c r="AH10" i="38"/>
  <c r="AD10" i="38"/>
  <c r="Z10" i="38"/>
  <c r="V10" i="38"/>
  <c r="R10" i="38"/>
  <c r="N10" i="38"/>
  <c r="J10" i="38"/>
  <c r="F10" i="38"/>
  <c r="B10" i="38"/>
  <c r="AT9" i="38"/>
  <c r="AP9" i="38"/>
  <c r="AL9" i="38"/>
  <c r="AH9" i="38"/>
  <c r="AD9" i="38"/>
  <c r="Z9" i="38"/>
  <c r="V9" i="38"/>
  <c r="R9" i="38"/>
  <c r="N9" i="38"/>
  <c r="J9" i="38"/>
  <c r="F9" i="38"/>
  <c r="B9" i="38"/>
  <c r="AT8" i="38"/>
  <c r="AP8" i="38"/>
  <c r="AL8" i="38"/>
  <c r="AH8" i="38"/>
  <c r="AD8" i="38"/>
  <c r="Z8" i="38"/>
  <c r="V8" i="38"/>
  <c r="R8" i="38"/>
  <c r="N8" i="38"/>
  <c r="J8" i="38"/>
  <c r="F8" i="38"/>
  <c r="B8" i="38"/>
  <c r="AH7" i="38"/>
  <c r="Z7" i="38"/>
  <c r="F7" i="38"/>
  <c r="B7" i="38"/>
  <c r="AT6" i="38"/>
  <c r="AP6" i="38"/>
  <c r="AL6" i="38"/>
  <c r="AH6" i="38"/>
  <c r="AD6" i="38"/>
  <c r="Z6" i="38"/>
  <c r="V6" i="38"/>
  <c r="R6" i="38"/>
  <c r="N6" i="38"/>
  <c r="J6" i="38"/>
  <c r="F6" i="38"/>
  <c r="B6" i="38"/>
  <c r="AT5" i="38"/>
  <c r="AP5" i="38"/>
  <c r="AL5" i="38"/>
  <c r="AH5" i="38"/>
  <c r="AD5" i="38"/>
  <c r="Z5" i="38"/>
  <c r="V5" i="38"/>
  <c r="R5" i="38"/>
  <c r="N5" i="38"/>
  <c r="J5" i="38"/>
  <c r="F5" i="38"/>
  <c r="B5" i="38"/>
  <c r="AT4" i="38"/>
  <c r="AP4" i="38"/>
  <c r="AL4" i="38"/>
  <c r="AH4" i="38"/>
  <c r="AD4" i="38"/>
  <c r="Z4" i="38"/>
  <c r="V4" i="38"/>
  <c r="R4" i="38"/>
  <c r="N4" i="38"/>
  <c r="J4" i="38"/>
  <c r="F4" i="38"/>
  <c r="B4" i="38"/>
  <c r="AT3" i="38"/>
  <c r="AP3" i="38"/>
  <c r="AL3" i="38"/>
  <c r="AH3" i="38"/>
  <c r="AD3" i="38"/>
  <c r="Z3" i="38"/>
  <c r="V3" i="38"/>
  <c r="R3" i="38"/>
  <c r="N3" i="38"/>
  <c r="J3" i="38"/>
  <c r="F3" i="38"/>
  <c r="B3" i="38"/>
  <c r="AT2" i="38"/>
  <c r="AP2" i="38"/>
  <c r="AL2" i="38"/>
  <c r="AH2" i="38"/>
  <c r="AD2" i="38"/>
  <c r="Z2" i="38"/>
  <c r="V2" i="38"/>
  <c r="N2" i="38"/>
  <c r="J2" i="38"/>
  <c r="F2" i="38"/>
  <c r="G39" i="37"/>
  <c r="AQ35" i="37"/>
  <c r="AM35" i="37"/>
  <c r="AI35" i="37"/>
  <c r="AE35" i="37"/>
  <c r="AA35" i="37"/>
  <c r="W35" i="37"/>
  <c r="AV33" i="37"/>
  <c r="AU33" i="37"/>
  <c r="AR33" i="37"/>
  <c r="AQ33" i="37"/>
  <c r="AN33" i="37"/>
  <c r="AM33" i="37"/>
  <c r="AJ33" i="37"/>
  <c r="AI33" i="37"/>
  <c r="AF33" i="37"/>
  <c r="AE33" i="37"/>
  <c r="AB33" i="37"/>
  <c r="AA33" i="37"/>
  <c r="X33" i="37"/>
  <c r="W33" i="37"/>
  <c r="T33" i="37"/>
  <c r="S33" i="37"/>
  <c r="P33" i="37"/>
  <c r="O33" i="37"/>
  <c r="L33" i="37"/>
  <c r="K33" i="37"/>
  <c r="H33" i="37"/>
  <c r="G33" i="37"/>
  <c r="AT32" i="37"/>
  <c r="AL32" i="37"/>
  <c r="AD32" i="37"/>
  <c r="Z32" i="37"/>
  <c r="R32" i="37"/>
  <c r="N32" i="37"/>
  <c r="J32" i="37"/>
  <c r="B32" i="37"/>
  <c r="AT31" i="37"/>
  <c r="AP31" i="37"/>
  <c r="AL31" i="37"/>
  <c r="AH31" i="37"/>
  <c r="AD31" i="37"/>
  <c r="Z31" i="37"/>
  <c r="V31" i="37"/>
  <c r="R31" i="37"/>
  <c r="N31" i="37"/>
  <c r="J31" i="37"/>
  <c r="B31" i="37"/>
  <c r="AT30" i="37"/>
  <c r="AP30" i="37"/>
  <c r="AL30" i="37"/>
  <c r="AH30" i="37"/>
  <c r="AD30" i="37"/>
  <c r="Z30" i="37"/>
  <c r="V30" i="37"/>
  <c r="R30" i="37"/>
  <c r="N30" i="37"/>
  <c r="J30" i="37"/>
  <c r="B30" i="37"/>
  <c r="AT29" i="37"/>
  <c r="AP29" i="37"/>
  <c r="AL29" i="37"/>
  <c r="AH29" i="37"/>
  <c r="AD29" i="37"/>
  <c r="Z29" i="37"/>
  <c r="V29" i="37"/>
  <c r="R29" i="37"/>
  <c r="N29" i="37"/>
  <c r="J29" i="37"/>
  <c r="F29" i="37"/>
  <c r="B29" i="37"/>
  <c r="AT28" i="37"/>
  <c r="AP28" i="37"/>
  <c r="AL28" i="37"/>
  <c r="AH28" i="37"/>
  <c r="AD28" i="37"/>
  <c r="Z28" i="37"/>
  <c r="V28" i="37"/>
  <c r="R28" i="37"/>
  <c r="N28" i="37"/>
  <c r="J28" i="37"/>
  <c r="F28" i="37"/>
  <c r="B28" i="37"/>
  <c r="AT27" i="37"/>
  <c r="AP27" i="37"/>
  <c r="AL27" i="37"/>
  <c r="AH27" i="37"/>
  <c r="AD27" i="37"/>
  <c r="Z27" i="37"/>
  <c r="V27" i="37"/>
  <c r="R27" i="37"/>
  <c r="N27" i="37"/>
  <c r="J27" i="37"/>
  <c r="F27" i="37"/>
  <c r="B27" i="37"/>
  <c r="AT26" i="37"/>
  <c r="AP26" i="37"/>
  <c r="AL26" i="37"/>
  <c r="AH26" i="37"/>
  <c r="AD26" i="37"/>
  <c r="Z26" i="37"/>
  <c r="V26" i="37"/>
  <c r="R26" i="37"/>
  <c r="N26" i="37"/>
  <c r="J26" i="37"/>
  <c r="F26" i="37"/>
  <c r="B26" i="37"/>
  <c r="AT25" i="37"/>
  <c r="AP25" i="37"/>
  <c r="AL25" i="37"/>
  <c r="AH25" i="37"/>
  <c r="AD25" i="37"/>
  <c r="Z25" i="37"/>
  <c r="V25" i="37"/>
  <c r="R25" i="37"/>
  <c r="N25" i="37"/>
  <c r="J25" i="37"/>
  <c r="F25" i="37"/>
  <c r="B25" i="37"/>
  <c r="AT24" i="37"/>
  <c r="AP24" i="37"/>
  <c r="AL24" i="37"/>
  <c r="AH24" i="37"/>
  <c r="AD24" i="37"/>
  <c r="Z24" i="37"/>
  <c r="V24" i="37"/>
  <c r="R24" i="37"/>
  <c r="N24" i="37"/>
  <c r="J24" i="37"/>
  <c r="F24" i="37"/>
  <c r="B24" i="37"/>
  <c r="AT23" i="37"/>
  <c r="AP23" i="37"/>
  <c r="AL23" i="37"/>
  <c r="AH23" i="37"/>
  <c r="AD23" i="37"/>
  <c r="Z23" i="37"/>
  <c r="V23" i="37"/>
  <c r="R23" i="37"/>
  <c r="N23" i="37"/>
  <c r="J23" i="37"/>
  <c r="F23" i="37"/>
  <c r="B23" i="37"/>
  <c r="AT22" i="37"/>
  <c r="AP22" i="37"/>
  <c r="AL22" i="37"/>
  <c r="AH22" i="37"/>
  <c r="AD22" i="37"/>
  <c r="Z22" i="37"/>
  <c r="V22" i="37"/>
  <c r="R22" i="37"/>
  <c r="N22" i="37"/>
  <c r="J22" i="37"/>
  <c r="F22" i="37"/>
  <c r="B22" i="37"/>
  <c r="AT21" i="37"/>
  <c r="AP21" i="37"/>
  <c r="AL21" i="37"/>
  <c r="AH21" i="37"/>
  <c r="AD21" i="37"/>
  <c r="Z21" i="37"/>
  <c r="V21" i="37"/>
  <c r="R21" i="37"/>
  <c r="N21" i="37"/>
  <c r="J21" i="37"/>
  <c r="F21" i="37"/>
  <c r="B21" i="37"/>
  <c r="AT20" i="37"/>
  <c r="AP20" i="37"/>
  <c r="AL20" i="37"/>
  <c r="AH20" i="37"/>
  <c r="AD20" i="37"/>
  <c r="Z20" i="37"/>
  <c r="V20" i="37"/>
  <c r="R20" i="37"/>
  <c r="N20" i="37"/>
  <c r="J20" i="37"/>
  <c r="F20" i="37"/>
  <c r="B20" i="37"/>
  <c r="AT19" i="37"/>
  <c r="AP19" i="37"/>
  <c r="AL19" i="37"/>
  <c r="AH19" i="37"/>
  <c r="AD19" i="37"/>
  <c r="Z19" i="37"/>
  <c r="V19" i="37"/>
  <c r="R19" i="37"/>
  <c r="N19" i="37"/>
  <c r="J19" i="37"/>
  <c r="F19" i="37"/>
  <c r="B19" i="37"/>
  <c r="AT18" i="37"/>
  <c r="AP18" i="37"/>
  <c r="AL18" i="37"/>
  <c r="AH18" i="37"/>
  <c r="AD18" i="37"/>
  <c r="Z18" i="37"/>
  <c r="V18" i="37"/>
  <c r="R18" i="37"/>
  <c r="N18" i="37"/>
  <c r="J18" i="37"/>
  <c r="F18" i="37"/>
  <c r="B18" i="37"/>
  <c r="AT17" i="37"/>
  <c r="AP17" i="37"/>
  <c r="AL17" i="37"/>
  <c r="AH17" i="37"/>
  <c r="AD17" i="37"/>
  <c r="Z17" i="37"/>
  <c r="V17" i="37"/>
  <c r="R17" i="37"/>
  <c r="N17" i="37"/>
  <c r="J17" i="37"/>
  <c r="F17" i="37"/>
  <c r="B17" i="37"/>
  <c r="AT16" i="37"/>
  <c r="AP16" i="37"/>
  <c r="AL16" i="37"/>
  <c r="AH16" i="37"/>
  <c r="AD16" i="37"/>
  <c r="Z16" i="37"/>
  <c r="V16" i="37"/>
  <c r="R16" i="37"/>
  <c r="N16" i="37"/>
  <c r="J16" i="37"/>
  <c r="F16" i="37"/>
  <c r="B16" i="37"/>
  <c r="AT15" i="37"/>
  <c r="AP15" i="37"/>
  <c r="AL15" i="37"/>
  <c r="AH15" i="37"/>
  <c r="AD15" i="37"/>
  <c r="Z15" i="37"/>
  <c r="V15" i="37"/>
  <c r="R15" i="37"/>
  <c r="N15" i="37"/>
  <c r="J15" i="37"/>
  <c r="F15" i="37"/>
  <c r="B15" i="37"/>
  <c r="AT14" i="37"/>
  <c r="AP14" i="37"/>
  <c r="AL14" i="37"/>
  <c r="AH14" i="37"/>
  <c r="AD14" i="37"/>
  <c r="Z14" i="37"/>
  <c r="V14" i="37"/>
  <c r="R14" i="37"/>
  <c r="N14" i="37"/>
  <c r="J14" i="37"/>
  <c r="F14" i="37"/>
  <c r="B14" i="37"/>
  <c r="AT13" i="37"/>
  <c r="AP13" i="37"/>
  <c r="AL13" i="37"/>
  <c r="AH13" i="37"/>
  <c r="AD13" i="37"/>
  <c r="Z13" i="37"/>
  <c r="V13" i="37"/>
  <c r="R13" i="37"/>
  <c r="N13" i="37"/>
  <c r="J13" i="37"/>
  <c r="F13" i="37"/>
  <c r="B13" i="37"/>
  <c r="AT12" i="37"/>
  <c r="AP12" i="37"/>
  <c r="AL12" i="37"/>
  <c r="AH12" i="37"/>
  <c r="AD12" i="37"/>
  <c r="Z12" i="37"/>
  <c r="V12" i="37"/>
  <c r="R12" i="37"/>
  <c r="N12" i="37"/>
  <c r="J12" i="37"/>
  <c r="F12" i="37"/>
  <c r="B12" i="37"/>
  <c r="AT11" i="37"/>
  <c r="AP11" i="37"/>
  <c r="AL11" i="37"/>
  <c r="AH11" i="37"/>
  <c r="AD11" i="37"/>
  <c r="Z11" i="37"/>
  <c r="V11" i="37"/>
  <c r="R11" i="37"/>
  <c r="N11" i="37"/>
  <c r="J11" i="37"/>
  <c r="F11" i="37"/>
  <c r="B11" i="37"/>
  <c r="AT10" i="37"/>
  <c r="AP10" i="37"/>
  <c r="AL10" i="37"/>
  <c r="AH10" i="37"/>
  <c r="AD10" i="37"/>
  <c r="Z10" i="37"/>
  <c r="V10" i="37"/>
  <c r="R10" i="37"/>
  <c r="N10" i="37"/>
  <c r="J10" i="37"/>
  <c r="F10" i="37"/>
  <c r="B10" i="37"/>
  <c r="AT9" i="37"/>
  <c r="AP9" i="37"/>
  <c r="AL9" i="37"/>
  <c r="AH9" i="37"/>
  <c r="AD9" i="37"/>
  <c r="Z9" i="37"/>
  <c r="V9" i="37"/>
  <c r="R9" i="37"/>
  <c r="N9" i="37"/>
  <c r="J9" i="37"/>
  <c r="F9" i="37"/>
  <c r="B9" i="37"/>
  <c r="AT8" i="37"/>
  <c r="AP8" i="37"/>
  <c r="AL8" i="37"/>
  <c r="AH8" i="37"/>
  <c r="AD8" i="37"/>
  <c r="Z8" i="37"/>
  <c r="V8" i="37"/>
  <c r="R8" i="37"/>
  <c r="N8" i="37"/>
  <c r="J8" i="37"/>
  <c r="F8" i="37"/>
  <c r="B8" i="37"/>
  <c r="AH7" i="37"/>
  <c r="Z7" i="37"/>
  <c r="F7" i="37"/>
  <c r="B7" i="37"/>
  <c r="AT6" i="37"/>
  <c r="AP6" i="37"/>
  <c r="AL6" i="37"/>
  <c r="AH6" i="37"/>
  <c r="AD6" i="37"/>
  <c r="Z6" i="37"/>
  <c r="V6" i="37"/>
  <c r="R6" i="37"/>
  <c r="N6" i="37"/>
  <c r="J6" i="37"/>
  <c r="F6" i="37"/>
  <c r="B6" i="37"/>
  <c r="AT5" i="37"/>
  <c r="AP5" i="37"/>
  <c r="AL5" i="37"/>
  <c r="AH5" i="37"/>
  <c r="AD5" i="37"/>
  <c r="Z5" i="37"/>
  <c r="V5" i="37"/>
  <c r="R5" i="37"/>
  <c r="N5" i="37"/>
  <c r="J5" i="37"/>
  <c r="F5" i="37"/>
  <c r="B5" i="37"/>
  <c r="AT4" i="37"/>
  <c r="AP4" i="37"/>
  <c r="AL4" i="37"/>
  <c r="AH4" i="37"/>
  <c r="AD4" i="37"/>
  <c r="Z4" i="37"/>
  <c r="V4" i="37"/>
  <c r="R4" i="37"/>
  <c r="N4" i="37"/>
  <c r="J4" i="37"/>
  <c r="F4" i="37"/>
  <c r="B4" i="37"/>
  <c r="AT3" i="37"/>
  <c r="AP3" i="37"/>
  <c r="AL3" i="37"/>
  <c r="AH3" i="37"/>
  <c r="AD3" i="37"/>
  <c r="Z3" i="37"/>
  <c r="V3" i="37"/>
  <c r="R3" i="37"/>
  <c r="N3" i="37"/>
  <c r="J3" i="37"/>
  <c r="F3" i="37"/>
  <c r="B3" i="37"/>
  <c r="AT2" i="37"/>
  <c r="AP2" i="37"/>
  <c r="AL2" i="37"/>
  <c r="AH2" i="37"/>
  <c r="AD2" i="37"/>
  <c r="Z2" i="37"/>
  <c r="V2" i="37"/>
  <c r="N2" i="37"/>
  <c r="J2" i="37"/>
  <c r="F2" i="37"/>
  <c r="AQ35" i="36"/>
  <c r="AM35" i="36"/>
  <c r="AI35" i="36"/>
  <c r="AE35" i="36"/>
  <c r="AA35" i="36"/>
  <c r="W35" i="36"/>
  <c r="AV33" i="36"/>
  <c r="AU33" i="36"/>
  <c r="AR33" i="36"/>
  <c r="AQ33" i="36"/>
  <c r="AN33" i="36"/>
  <c r="AM33" i="36"/>
  <c r="AJ33" i="36"/>
  <c r="AI33" i="36"/>
  <c r="AF33" i="36"/>
  <c r="AE33" i="36"/>
  <c r="AB33" i="36"/>
  <c r="AA33" i="36"/>
  <c r="X33" i="36"/>
  <c r="W33" i="36"/>
  <c r="T33" i="36"/>
  <c r="S33" i="36"/>
  <c r="P33" i="36"/>
  <c r="O33" i="36"/>
  <c r="L33" i="36"/>
  <c r="K33" i="36"/>
  <c r="H33" i="36"/>
  <c r="G33" i="36"/>
  <c r="AT32" i="36"/>
  <c r="AL32" i="36"/>
  <c r="AD32" i="36"/>
  <c r="Z32" i="36"/>
  <c r="R32" i="36"/>
  <c r="N32" i="36"/>
  <c r="J32" i="36"/>
  <c r="B32" i="36"/>
  <c r="AT31" i="36"/>
  <c r="AP31" i="36"/>
  <c r="AL31" i="36"/>
  <c r="AH31" i="36"/>
  <c r="AD31" i="36"/>
  <c r="Z31" i="36"/>
  <c r="V31" i="36"/>
  <c r="R31" i="36"/>
  <c r="N31" i="36"/>
  <c r="J31" i="36"/>
  <c r="B31" i="36"/>
  <c r="AT30" i="36"/>
  <c r="AP30" i="36"/>
  <c r="AL30" i="36"/>
  <c r="AH30" i="36"/>
  <c r="AD30" i="36"/>
  <c r="Z30" i="36"/>
  <c r="V30" i="36"/>
  <c r="R30" i="36"/>
  <c r="N30" i="36"/>
  <c r="J30" i="36"/>
  <c r="B30" i="36"/>
  <c r="AT29" i="36"/>
  <c r="AP29" i="36"/>
  <c r="AL29" i="36"/>
  <c r="AH29" i="36"/>
  <c r="AD29" i="36"/>
  <c r="Z29" i="36"/>
  <c r="V29" i="36"/>
  <c r="R29" i="36"/>
  <c r="N29" i="36"/>
  <c r="J29" i="36"/>
  <c r="F29" i="36"/>
  <c r="B29" i="36"/>
  <c r="AT28" i="36"/>
  <c r="AP28" i="36"/>
  <c r="AL28" i="36"/>
  <c r="AH28" i="36"/>
  <c r="AD28" i="36"/>
  <c r="Z28" i="36"/>
  <c r="V28" i="36"/>
  <c r="R28" i="36"/>
  <c r="N28" i="36"/>
  <c r="J28" i="36"/>
  <c r="F28" i="36"/>
  <c r="B28" i="36"/>
  <c r="AT27" i="36"/>
  <c r="AP27" i="36"/>
  <c r="AL27" i="36"/>
  <c r="AH27" i="36"/>
  <c r="AD27" i="36"/>
  <c r="Z27" i="36"/>
  <c r="V27" i="36"/>
  <c r="R27" i="36"/>
  <c r="N27" i="36"/>
  <c r="J27" i="36"/>
  <c r="F27" i="36"/>
  <c r="B27" i="36"/>
  <c r="AT26" i="36"/>
  <c r="AP26" i="36"/>
  <c r="AL26" i="36"/>
  <c r="AH26" i="36"/>
  <c r="AD26" i="36"/>
  <c r="Z26" i="36"/>
  <c r="V26" i="36"/>
  <c r="R26" i="36"/>
  <c r="N26" i="36"/>
  <c r="J26" i="36"/>
  <c r="F26" i="36"/>
  <c r="B26" i="36"/>
  <c r="AT25" i="36"/>
  <c r="AP25" i="36"/>
  <c r="AL25" i="36"/>
  <c r="AH25" i="36"/>
  <c r="AD25" i="36"/>
  <c r="Z25" i="36"/>
  <c r="V25" i="36"/>
  <c r="R25" i="36"/>
  <c r="N25" i="36"/>
  <c r="J25" i="36"/>
  <c r="F25" i="36"/>
  <c r="B25" i="36"/>
  <c r="AT24" i="36"/>
  <c r="AP24" i="36"/>
  <c r="AL24" i="36"/>
  <c r="AH24" i="36"/>
  <c r="AD24" i="36"/>
  <c r="Z24" i="36"/>
  <c r="V24" i="36"/>
  <c r="R24" i="36"/>
  <c r="N24" i="36"/>
  <c r="J24" i="36"/>
  <c r="F24" i="36"/>
  <c r="B24" i="36"/>
  <c r="AT23" i="36"/>
  <c r="AP23" i="36"/>
  <c r="AL23" i="36"/>
  <c r="AH23" i="36"/>
  <c r="AD23" i="36"/>
  <c r="Z23" i="36"/>
  <c r="V23" i="36"/>
  <c r="R23" i="36"/>
  <c r="N23" i="36"/>
  <c r="J23" i="36"/>
  <c r="F23" i="36"/>
  <c r="B23" i="36"/>
  <c r="AT22" i="36"/>
  <c r="AP22" i="36"/>
  <c r="AL22" i="36"/>
  <c r="AH22" i="36"/>
  <c r="AD22" i="36"/>
  <c r="Z22" i="36"/>
  <c r="V22" i="36"/>
  <c r="R22" i="36"/>
  <c r="N22" i="36"/>
  <c r="J22" i="36"/>
  <c r="F22" i="36"/>
  <c r="B22" i="36"/>
  <c r="AT21" i="36"/>
  <c r="AP21" i="36"/>
  <c r="AL21" i="36"/>
  <c r="AH21" i="36"/>
  <c r="AD21" i="36"/>
  <c r="Z21" i="36"/>
  <c r="V21" i="36"/>
  <c r="R21" i="36"/>
  <c r="N21" i="36"/>
  <c r="J21" i="36"/>
  <c r="F21" i="36"/>
  <c r="B21" i="36"/>
  <c r="AT20" i="36"/>
  <c r="AP20" i="36"/>
  <c r="AL20" i="36"/>
  <c r="AH20" i="36"/>
  <c r="AD20" i="36"/>
  <c r="Z20" i="36"/>
  <c r="V20" i="36"/>
  <c r="R20" i="36"/>
  <c r="N20" i="36"/>
  <c r="J20" i="36"/>
  <c r="F20" i="36"/>
  <c r="B20" i="36"/>
  <c r="AT19" i="36"/>
  <c r="AP19" i="36"/>
  <c r="AL19" i="36"/>
  <c r="AH19" i="36"/>
  <c r="AD19" i="36"/>
  <c r="Z19" i="36"/>
  <c r="V19" i="36"/>
  <c r="R19" i="36"/>
  <c r="N19" i="36"/>
  <c r="J19" i="36"/>
  <c r="F19" i="36"/>
  <c r="B19" i="36"/>
  <c r="AT18" i="36"/>
  <c r="AP18" i="36"/>
  <c r="AL18" i="36"/>
  <c r="AH18" i="36"/>
  <c r="AD18" i="36"/>
  <c r="Z18" i="36"/>
  <c r="V18" i="36"/>
  <c r="R18" i="36"/>
  <c r="N18" i="36"/>
  <c r="J18" i="36"/>
  <c r="F18" i="36"/>
  <c r="B18" i="36"/>
  <c r="AT17" i="36"/>
  <c r="AP17" i="36"/>
  <c r="AL17" i="36"/>
  <c r="AH17" i="36"/>
  <c r="AD17" i="36"/>
  <c r="Z17" i="36"/>
  <c r="V17" i="36"/>
  <c r="R17" i="36"/>
  <c r="N17" i="36"/>
  <c r="J17" i="36"/>
  <c r="F17" i="36"/>
  <c r="B17" i="36"/>
  <c r="AT16" i="36"/>
  <c r="AP16" i="36"/>
  <c r="AL16" i="36"/>
  <c r="AH16" i="36"/>
  <c r="AD16" i="36"/>
  <c r="Z16" i="36"/>
  <c r="V16" i="36"/>
  <c r="R16" i="36"/>
  <c r="N16" i="36"/>
  <c r="J16" i="36"/>
  <c r="F16" i="36"/>
  <c r="B16" i="36"/>
  <c r="AT15" i="36"/>
  <c r="AP15" i="36"/>
  <c r="AL15" i="36"/>
  <c r="AH15" i="36"/>
  <c r="AD15" i="36"/>
  <c r="Z15" i="36"/>
  <c r="V15" i="36"/>
  <c r="R15" i="36"/>
  <c r="N15" i="36"/>
  <c r="J15" i="36"/>
  <c r="F15" i="36"/>
  <c r="B15" i="36"/>
  <c r="AT14" i="36"/>
  <c r="AP14" i="36"/>
  <c r="AL14" i="36"/>
  <c r="AH14" i="36"/>
  <c r="AD14" i="36"/>
  <c r="Z14" i="36"/>
  <c r="V14" i="36"/>
  <c r="R14" i="36"/>
  <c r="N14" i="36"/>
  <c r="J14" i="36"/>
  <c r="F14" i="36"/>
  <c r="B14" i="36"/>
  <c r="AT13" i="36"/>
  <c r="AP13" i="36"/>
  <c r="AL13" i="36"/>
  <c r="AH13" i="36"/>
  <c r="AD13" i="36"/>
  <c r="Z13" i="36"/>
  <c r="V13" i="36"/>
  <c r="R13" i="36"/>
  <c r="N13" i="36"/>
  <c r="J13" i="36"/>
  <c r="F13" i="36"/>
  <c r="B13" i="36"/>
  <c r="AT12" i="36"/>
  <c r="AP12" i="36"/>
  <c r="AL12" i="36"/>
  <c r="AH12" i="36"/>
  <c r="AD12" i="36"/>
  <c r="Z12" i="36"/>
  <c r="V12" i="36"/>
  <c r="R12" i="36"/>
  <c r="N12" i="36"/>
  <c r="J12" i="36"/>
  <c r="F12" i="36"/>
  <c r="B12" i="36"/>
  <c r="AT11" i="36"/>
  <c r="AP11" i="36"/>
  <c r="AL11" i="36"/>
  <c r="AH11" i="36"/>
  <c r="AD11" i="36"/>
  <c r="Z11" i="36"/>
  <c r="V11" i="36"/>
  <c r="R11" i="36"/>
  <c r="N11" i="36"/>
  <c r="J11" i="36"/>
  <c r="F11" i="36"/>
  <c r="B11" i="36"/>
  <c r="AT10" i="36"/>
  <c r="AP10" i="36"/>
  <c r="AL10" i="36"/>
  <c r="AH10" i="36"/>
  <c r="AD10" i="36"/>
  <c r="Z10" i="36"/>
  <c r="V10" i="36"/>
  <c r="R10" i="36"/>
  <c r="N10" i="36"/>
  <c r="J10" i="36"/>
  <c r="F10" i="36"/>
  <c r="B10" i="36"/>
  <c r="AT9" i="36"/>
  <c r="AP9" i="36"/>
  <c r="AL9" i="36"/>
  <c r="AH9" i="36"/>
  <c r="AD9" i="36"/>
  <c r="Z9" i="36"/>
  <c r="V9" i="36"/>
  <c r="R9" i="36"/>
  <c r="N9" i="36"/>
  <c r="J9" i="36"/>
  <c r="F9" i="36"/>
  <c r="B9" i="36"/>
  <c r="AT8" i="36"/>
  <c r="AP8" i="36"/>
  <c r="AL8" i="36"/>
  <c r="AH8" i="36"/>
  <c r="AD8" i="36"/>
  <c r="Z8" i="36"/>
  <c r="V8" i="36"/>
  <c r="R8" i="36"/>
  <c r="N8" i="36"/>
  <c r="J8" i="36"/>
  <c r="F8" i="36"/>
  <c r="B8" i="36"/>
  <c r="AH7" i="36"/>
  <c r="Z7" i="36"/>
  <c r="F7" i="36"/>
  <c r="B7" i="36"/>
  <c r="AT6" i="36"/>
  <c r="AP6" i="36"/>
  <c r="AL6" i="36"/>
  <c r="AH6" i="36"/>
  <c r="AD6" i="36"/>
  <c r="Z6" i="36"/>
  <c r="V6" i="36"/>
  <c r="R6" i="36"/>
  <c r="N6" i="36"/>
  <c r="J6" i="36"/>
  <c r="F6" i="36"/>
  <c r="B6" i="36"/>
  <c r="AT5" i="36"/>
  <c r="AP5" i="36"/>
  <c r="AL5" i="36"/>
  <c r="AH5" i="36"/>
  <c r="AD5" i="36"/>
  <c r="Z5" i="36"/>
  <c r="V5" i="36"/>
  <c r="R5" i="36"/>
  <c r="N5" i="36"/>
  <c r="J5" i="36"/>
  <c r="F5" i="36"/>
  <c r="B5" i="36"/>
  <c r="AT4" i="36"/>
  <c r="AP4" i="36"/>
  <c r="AL4" i="36"/>
  <c r="AH4" i="36"/>
  <c r="AD4" i="36"/>
  <c r="Z4" i="36"/>
  <c r="V4" i="36"/>
  <c r="R4" i="36"/>
  <c r="N4" i="36"/>
  <c r="J4" i="36"/>
  <c r="F4" i="36"/>
  <c r="B4" i="36"/>
  <c r="AT3" i="36"/>
  <c r="AP3" i="36"/>
  <c r="AL3" i="36"/>
  <c r="AH3" i="36"/>
  <c r="AD3" i="36"/>
  <c r="Z3" i="36"/>
  <c r="V3" i="36"/>
  <c r="R3" i="36"/>
  <c r="N3" i="36"/>
  <c r="J3" i="36"/>
  <c r="F3" i="36"/>
  <c r="B3" i="36"/>
  <c r="AT2" i="36"/>
  <c r="AP2" i="36"/>
  <c r="AL2" i="36"/>
  <c r="AH2" i="36"/>
  <c r="AD2" i="36"/>
  <c r="Z2" i="36"/>
  <c r="V2" i="36"/>
  <c r="N2" i="36"/>
  <c r="J2" i="36"/>
  <c r="F2" i="36"/>
  <c r="AQ35" i="47"/>
  <c r="AM35" i="47"/>
  <c r="AI35" i="47"/>
  <c r="AE35" i="47"/>
  <c r="AA35" i="47"/>
  <c r="W35" i="47"/>
  <c r="AV33" i="47"/>
  <c r="AU33" i="47"/>
  <c r="AR33" i="47"/>
  <c r="AQ33" i="47"/>
  <c r="AN33" i="47"/>
  <c r="AM33" i="47"/>
  <c r="AJ33" i="47"/>
  <c r="AI33" i="47"/>
  <c r="AF33" i="47"/>
  <c r="AE33" i="47"/>
  <c r="AB33" i="47"/>
  <c r="AA33" i="47"/>
  <c r="X33" i="47"/>
  <c r="W33" i="47"/>
  <c r="T33" i="47"/>
  <c r="S33" i="47"/>
  <c r="P33" i="47"/>
  <c r="O33" i="47"/>
  <c r="L33" i="47"/>
  <c r="K33" i="47"/>
  <c r="H33" i="47"/>
  <c r="G33" i="47"/>
  <c r="AT32" i="47"/>
  <c r="AL32" i="47"/>
  <c r="AD32" i="47"/>
  <c r="Z32" i="47"/>
  <c r="R32" i="47"/>
  <c r="N32" i="47"/>
  <c r="J32" i="47"/>
  <c r="B32" i="47"/>
  <c r="AT31" i="47"/>
  <c r="AP31" i="47"/>
  <c r="AL31" i="47"/>
  <c r="AH31" i="47"/>
  <c r="AD31" i="47"/>
  <c r="Z31" i="47"/>
  <c r="V31" i="47"/>
  <c r="R31" i="47"/>
  <c r="N31" i="47"/>
  <c r="J31" i="47"/>
  <c r="B31" i="47"/>
  <c r="AT30" i="47"/>
  <c r="AP30" i="47"/>
  <c r="AL30" i="47"/>
  <c r="AH30" i="47"/>
  <c r="AD30" i="47"/>
  <c r="Z30" i="47"/>
  <c r="V30" i="47"/>
  <c r="R30" i="47"/>
  <c r="N30" i="47"/>
  <c r="J30" i="47"/>
  <c r="B30" i="47"/>
  <c r="AT29" i="47"/>
  <c r="AP29" i="47"/>
  <c r="AL29" i="47"/>
  <c r="AH29" i="47"/>
  <c r="AD29" i="47"/>
  <c r="Z29" i="47"/>
  <c r="V29" i="47"/>
  <c r="R29" i="47"/>
  <c r="N29" i="47"/>
  <c r="J29" i="47"/>
  <c r="F29" i="47"/>
  <c r="B29" i="47"/>
  <c r="AT28" i="47"/>
  <c r="AP28" i="47"/>
  <c r="AL28" i="47"/>
  <c r="AH28" i="47"/>
  <c r="AD28" i="47"/>
  <c r="Z28" i="47"/>
  <c r="V28" i="47"/>
  <c r="R28" i="47"/>
  <c r="N28" i="47"/>
  <c r="J28" i="47"/>
  <c r="F28" i="47"/>
  <c r="B28" i="47"/>
  <c r="AT27" i="47"/>
  <c r="AP27" i="47"/>
  <c r="AL27" i="47"/>
  <c r="AH27" i="47"/>
  <c r="AD27" i="47"/>
  <c r="Z27" i="47"/>
  <c r="V27" i="47"/>
  <c r="R27" i="47"/>
  <c r="N27" i="47"/>
  <c r="J27" i="47"/>
  <c r="F27" i="47"/>
  <c r="B27" i="47"/>
  <c r="AT26" i="47"/>
  <c r="AP26" i="47"/>
  <c r="AL26" i="47"/>
  <c r="AH26" i="47"/>
  <c r="AD26" i="47"/>
  <c r="Z26" i="47"/>
  <c r="V26" i="47"/>
  <c r="R26" i="47"/>
  <c r="N26" i="47"/>
  <c r="J26" i="47"/>
  <c r="F26" i="47"/>
  <c r="B26" i="47"/>
  <c r="AT25" i="47"/>
  <c r="AP25" i="47"/>
  <c r="AL25" i="47"/>
  <c r="AH25" i="47"/>
  <c r="AD25" i="47"/>
  <c r="Z25" i="47"/>
  <c r="V25" i="47"/>
  <c r="R25" i="47"/>
  <c r="N25" i="47"/>
  <c r="J25" i="47"/>
  <c r="F25" i="47"/>
  <c r="B25" i="47"/>
  <c r="AT24" i="47"/>
  <c r="AP24" i="47"/>
  <c r="AL24" i="47"/>
  <c r="AH24" i="47"/>
  <c r="AD24" i="47"/>
  <c r="Z24" i="47"/>
  <c r="V24" i="47"/>
  <c r="R24" i="47"/>
  <c r="N24" i="47"/>
  <c r="J24" i="47"/>
  <c r="F24" i="47"/>
  <c r="B24" i="47"/>
  <c r="AT23" i="47"/>
  <c r="AP23" i="47"/>
  <c r="AL23" i="47"/>
  <c r="AH23" i="47"/>
  <c r="AD23" i="47"/>
  <c r="Z23" i="47"/>
  <c r="V23" i="47"/>
  <c r="R23" i="47"/>
  <c r="N23" i="47"/>
  <c r="J23" i="47"/>
  <c r="F23" i="47"/>
  <c r="B23" i="47"/>
  <c r="AT22" i="47"/>
  <c r="AP22" i="47"/>
  <c r="AL22" i="47"/>
  <c r="AH22" i="47"/>
  <c r="AD22" i="47"/>
  <c r="Z22" i="47"/>
  <c r="V22" i="47"/>
  <c r="R22" i="47"/>
  <c r="N22" i="47"/>
  <c r="J22" i="47"/>
  <c r="F22" i="47"/>
  <c r="B22" i="47"/>
  <c r="AT21" i="47"/>
  <c r="AP21" i="47"/>
  <c r="AL21" i="47"/>
  <c r="AH21" i="47"/>
  <c r="AD21" i="47"/>
  <c r="Z21" i="47"/>
  <c r="V21" i="47"/>
  <c r="R21" i="47"/>
  <c r="N21" i="47"/>
  <c r="J21" i="47"/>
  <c r="F21" i="47"/>
  <c r="B21" i="47"/>
  <c r="AT20" i="47"/>
  <c r="AP20" i="47"/>
  <c r="AL20" i="47"/>
  <c r="AH20" i="47"/>
  <c r="AD20" i="47"/>
  <c r="Z20" i="47"/>
  <c r="V20" i="47"/>
  <c r="R20" i="47"/>
  <c r="N20" i="47"/>
  <c r="J20" i="47"/>
  <c r="F20" i="47"/>
  <c r="B20" i="47"/>
  <c r="AT19" i="47"/>
  <c r="AP19" i="47"/>
  <c r="AL19" i="47"/>
  <c r="AH19" i="47"/>
  <c r="AD19" i="47"/>
  <c r="Z19" i="47"/>
  <c r="V19" i="47"/>
  <c r="R19" i="47"/>
  <c r="N19" i="47"/>
  <c r="J19" i="47"/>
  <c r="F19" i="47"/>
  <c r="B19" i="47"/>
  <c r="AT18" i="47"/>
  <c r="AP18" i="47"/>
  <c r="AL18" i="47"/>
  <c r="AH18" i="47"/>
  <c r="AD18" i="47"/>
  <c r="Z18" i="47"/>
  <c r="V18" i="47"/>
  <c r="R18" i="47"/>
  <c r="N18" i="47"/>
  <c r="J18" i="47"/>
  <c r="F18" i="47"/>
  <c r="B18" i="47"/>
  <c r="AT17" i="47"/>
  <c r="AP17" i="47"/>
  <c r="AL17" i="47"/>
  <c r="AH17" i="47"/>
  <c r="AD17" i="47"/>
  <c r="Z17" i="47"/>
  <c r="V17" i="47"/>
  <c r="R17" i="47"/>
  <c r="N17" i="47"/>
  <c r="J17" i="47"/>
  <c r="F17" i="47"/>
  <c r="B17" i="47"/>
  <c r="AT16" i="47"/>
  <c r="AP16" i="47"/>
  <c r="AL16" i="47"/>
  <c r="AH16" i="47"/>
  <c r="AD16" i="47"/>
  <c r="Z16" i="47"/>
  <c r="V16" i="47"/>
  <c r="R16" i="47"/>
  <c r="N16" i="47"/>
  <c r="J16" i="47"/>
  <c r="F16" i="47"/>
  <c r="B16" i="47"/>
  <c r="AT15" i="47"/>
  <c r="AP15" i="47"/>
  <c r="AL15" i="47"/>
  <c r="AH15" i="47"/>
  <c r="AD15" i="47"/>
  <c r="Z15" i="47"/>
  <c r="V15" i="47"/>
  <c r="R15" i="47"/>
  <c r="N15" i="47"/>
  <c r="J15" i="47"/>
  <c r="F15" i="47"/>
  <c r="B15" i="47"/>
  <c r="AT14" i="47"/>
  <c r="AP14" i="47"/>
  <c r="AL14" i="47"/>
  <c r="AH14" i="47"/>
  <c r="AD14" i="47"/>
  <c r="Z14" i="47"/>
  <c r="V14" i="47"/>
  <c r="R14" i="47"/>
  <c r="N14" i="47"/>
  <c r="J14" i="47"/>
  <c r="F14" i="47"/>
  <c r="B14" i="47"/>
  <c r="AT13" i="47"/>
  <c r="AP13" i="47"/>
  <c r="AL13" i="47"/>
  <c r="AH13" i="47"/>
  <c r="AD13" i="47"/>
  <c r="Z13" i="47"/>
  <c r="V13" i="47"/>
  <c r="R13" i="47"/>
  <c r="N13" i="47"/>
  <c r="J13" i="47"/>
  <c r="F13" i="47"/>
  <c r="B13" i="47"/>
  <c r="AT12" i="47"/>
  <c r="AP12" i="47"/>
  <c r="AL12" i="47"/>
  <c r="AH12" i="47"/>
  <c r="AD12" i="47"/>
  <c r="Z12" i="47"/>
  <c r="V12" i="47"/>
  <c r="R12" i="47"/>
  <c r="N12" i="47"/>
  <c r="J12" i="47"/>
  <c r="F12" i="47"/>
  <c r="B12" i="47"/>
  <c r="AT11" i="47"/>
  <c r="AP11" i="47"/>
  <c r="AL11" i="47"/>
  <c r="AH11" i="47"/>
  <c r="AD11" i="47"/>
  <c r="Z11" i="47"/>
  <c r="V11" i="47"/>
  <c r="R11" i="47"/>
  <c r="N11" i="47"/>
  <c r="J11" i="47"/>
  <c r="F11" i="47"/>
  <c r="B11" i="47"/>
  <c r="AT10" i="47"/>
  <c r="AP10" i="47"/>
  <c r="AL10" i="47"/>
  <c r="AH10" i="47"/>
  <c r="AD10" i="47"/>
  <c r="Z10" i="47"/>
  <c r="V10" i="47"/>
  <c r="R10" i="47"/>
  <c r="N10" i="47"/>
  <c r="J10" i="47"/>
  <c r="F10" i="47"/>
  <c r="B10" i="47"/>
  <c r="AT9" i="47"/>
  <c r="AP9" i="47"/>
  <c r="AL9" i="47"/>
  <c r="AH9" i="47"/>
  <c r="AD9" i="47"/>
  <c r="Z9" i="47"/>
  <c r="V9" i="47"/>
  <c r="R9" i="47"/>
  <c r="N9" i="47"/>
  <c r="J9" i="47"/>
  <c r="F9" i="47"/>
  <c r="B9" i="47"/>
  <c r="AT8" i="47"/>
  <c r="AP8" i="47"/>
  <c r="AL8" i="47"/>
  <c r="AH8" i="47"/>
  <c r="AD8" i="47"/>
  <c r="Z8" i="47"/>
  <c r="V8" i="47"/>
  <c r="R8" i="47"/>
  <c r="N8" i="47"/>
  <c r="J8" i="47"/>
  <c r="F8" i="47"/>
  <c r="B8" i="47"/>
  <c r="AH7" i="47"/>
  <c r="Z7" i="47"/>
  <c r="F7" i="47"/>
  <c r="B7" i="47"/>
  <c r="AT6" i="47"/>
  <c r="AP6" i="47"/>
  <c r="AL6" i="47"/>
  <c r="AH6" i="47"/>
  <c r="AD6" i="47"/>
  <c r="Z6" i="47"/>
  <c r="V6" i="47"/>
  <c r="R6" i="47"/>
  <c r="N6" i="47"/>
  <c r="J6" i="47"/>
  <c r="F6" i="47"/>
  <c r="B6" i="47"/>
  <c r="AT5" i="47"/>
  <c r="AP5" i="47"/>
  <c r="AL5" i="47"/>
  <c r="AH5" i="47"/>
  <c r="AD5" i="47"/>
  <c r="Z5" i="47"/>
  <c r="V5" i="47"/>
  <c r="R5" i="47"/>
  <c r="N5" i="47"/>
  <c r="J5" i="47"/>
  <c r="F5" i="47"/>
  <c r="B5" i="47"/>
  <c r="AT4" i="47"/>
  <c r="AP4" i="47"/>
  <c r="AL4" i="47"/>
  <c r="AH4" i="47"/>
  <c r="AD4" i="47"/>
  <c r="Z4" i="47"/>
  <c r="V4" i="47"/>
  <c r="R4" i="47"/>
  <c r="N4" i="47"/>
  <c r="J4" i="47"/>
  <c r="F4" i="47"/>
  <c r="B4" i="47"/>
  <c r="AT3" i="47"/>
  <c r="AP3" i="47"/>
  <c r="AL3" i="47"/>
  <c r="AH3" i="47"/>
  <c r="AD3" i="47"/>
  <c r="Z3" i="47"/>
  <c r="V3" i="47"/>
  <c r="R3" i="47"/>
  <c r="N3" i="47"/>
  <c r="J3" i="47"/>
  <c r="F3" i="47"/>
  <c r="B3" i="47"/>
  <c r="AT2" i="47"/>
  <c r="AP2" i="47"/>
  <c r="AL2" i="47"/>
  <c r="AH2" i="47"/>
  <c r="AD2" i="47"/>
  <c r="Z2" i="47"/>
  <c r="V2" i="47"/>
  <c r="N2" i="47"/>
  <c r="J2" i="47"/>
  <c r="F2" i="47"/>
  <c r="AQ35" i="35"/>
  <c r="AM35" i="35"/>
  <c r="AI35" i="35"/>
  <c r="AE35" i="35"/>
  <c r="AA35" i="35"/>
  <c r="W35" i="35"/>
  <c r="AV33" i="35"/>
  <c r="AU33" i="35"/>
  <c r="AR33" i="35"/>
  <c r="AQ33" i="35"/>
  <c r="AN33" i="35"/>
  <c r="AM33" i="35"/>
  <c r="AJ33" i="35"/>
  <c r="AI33" i="35"/>
  <c r="AF33" i="35"/>
  <c r="AE33" i="35"/>
  <c r="AB33" i="35"/>
  <c r="AA33" i="35"/>
  <c r="X33" i="35"/>
  <c r="W33" i="35"/>
  <c r="T33" i="35"/>
  <c r="S33" i="35"/>
  <c r="P33" i="35"/>
  <c r="O33" i="35"/>
  <c r="L33" i="35"/>
  <c r="K33" i="35"/>
  <c r="H33" i="35"/>
  <c r="G33" i="35"/>
  <c r="AT32" i="35"/>
  <c r="AL32" i="35"/>
  <c r="AD32" i="35"/>
  <c r="Z32" i="35"/>
  <c r="R32" i="35"/>
  <c r="J32" i="35"/>
  <c r="B32" i="35"/>
  <c r="AT31" i="35"/>
  <c r="AP31" i="35"/>
  <c r="AL31" i="35"/>
  <c r="AH31" i="35"/>
  <c r="AD31" i="35"/>
  <c r="Z31" i="35"/>
  <c r="V31" i="35"/>
  <c r="R31" i="35"/>
  <c r="N31" i="35"/>
  <c r="J31" i="35"/>
  <c r="B31" i="35"/>
  <c r="AT30" i="35"/>
  <c r="AP30" i="35"/>
  <c r="AL30" i="35"/>
  <c r="AH30" i="35"/>
  <c r="AD30" i="35"/>
  <c r="Z30" i="35"/>
  <c r="V30" i="35"/>
  <c r="R30" i="35"/>
  <c r="N30" i="35"/>
  <c r="J30" i="35"/>
  <c r="B30" i="35"/>
  <c r="AT29" i="35"/>
  <c r="AP29" i="35"/>
  <c r="AL29" i="35"/>
  <c r="AH29" i="35"/>
  <c r="AD29" i="35"/>
  <c r="Z29" i="35"/>
  <c r="V29" i="35"/>
  <c r="R29" i="35"/>
  <c r="N29" i="35"/>
  <c r="J29" i="35"/>
  <c r="F29" i="35"/>
  <c r="B29" i="35"/>
  <c r="AT28" i="35"/>
  <c r="AP28" i="35"/>
  <c r="AL28" i="35"/>
  <c r="AH28" i="35"/>
  <c r="AD28" i="35"/>
  <c r="Z28" i="35"/>
  <c r="V28" i="35"/>
  <c r="R28" i="35"/>
  <c r="N28" i="35"/>
  <c r="J28" i="35"/>
  <c r="F28" i="35"/>
  <c r="B28" i="35"/>
  <c r="AT27" i="35"/>
  <c r="AP27" i="35"/>
  <c r="AL27" i="35"/>
  <c r="AH27" i="35"/>
  <c r="AD27" i="35"/>
  <c r="Z27" i="35"/>
  <c r="V27" i="35"/>
  <c r="R27" i="35"/>
  <c r="N27" i="35"/>
  <c r="J27" i="35"/>
  <c r="F27" i="35"/>
  <c r="B27" i="35"/>
  <c r="AT26" i="35"/>
  <c r="AP26" i="35"/>
  <c r="AL26" i="35"/>
  <c r="AH26" i="35"/>
  <c r="AD26" i="35"/>
  <c r="Z26" i="35"/>
  <c r="V26" i="35"/>
  <c r="R26" i="35"/>
  <c r="N26" i="35"/>
  <c r="J26" i="35"/>
  <c r="F26" i="35"/>
  <c r="B26" i="35"/>
  <c r="AT25" i="35"/>
  <c r="AP25" i="35"/>
  <c r="AL25" i="35"/>
  <c r="AH25" i="35"/>
  <c r="AD25" i="35"/>
  <c r="Z25" i="35"/>
  <c r="V25" i="35"/>
  <c r="R25" i="35"/>
  <c r="N25" i="35"/>
  <c r="J25" i="35"/>
  <c r="F25" i="35"/>
  <c r="B25" i="35"/>
  <c r="AT24" i="35"/>
  <c r="AP24" i="35"/>
  <c r="AL24" i="35"/>
  <c r="AH24" i="35"/>
  <c r="AD24" i="35"/>
  <c r="Z24" i="35"/>
  <c r="V24" i="35"/>
  <c r="R24" i="35"/>
  <c r="N24" i="35"/>
  <c r="J24" i="35"/>
  <c r="F24" i="35"/>
  <c r="B24" i="35"/>
  <c r="AT23" i="35"/>
  <c r="AP23" i="35"/>
  <c r="AL23" i="35"/>
  <c r="AH23" i="35"/>
  <c r="AD23" i="35"/>
  <c r="Z23" i="35"/>
  <c r="V23" i="35"/>
  <c r="R23" i="35"/>
  <c r="N23" i="35"/>
  <c r="J23" i="35"/>
  <c r="F23" i="35"/>
  <c r="B23" i="35"/>
  <c r="AT22" i="35"/>
  <c r="AP22" i="35"/>
  <c r="AL22" i="35"/>
  <c r="AH22" i="35"/>
  <c r="AD22" i="35"/>
  <c r="Z22" i="35"/>
  <c r="V22" i="35"/>
  <c r="R22" i="35"/>
  <c r="N22" i="35"/>
  <c r="J22" i="35"/>
  <c r="F22" i="35"/>
  <c r="B22" i="35"/>
  <c r="AT21" i="35"/>
  <c r="AP21" i="35"/>
  <c r="AL21" i="35"/>
  <c r="AH21" i="35"/>
  <c r="AD21" i="35"/>
  <c r="Z21" i="35"/>
  <c r="V21" i="35"/>
  <c r="R21" i="35"/>
  <c r="N21" i="35"/>
  <c r="J21" i="35"/>
  <c r="F21" i="35"/>
  <c r="B21" i="35"/>
  <c r="AT20" i="35"/>
  <c r="AP20" i="35"/>
  <c r="AL20" i="35"/>
  <c r="AH20" i="35"/>
  <c r="AD20" i="35"/>
  <c r="Z20" i="35"/>
  <c r="V20" i="35"/>
  <c r="R20" i="35"/>
  <c r="N20" i="35"/>
  <c r="J20" i="35"/>
  <c r="F20" i="35"/>
  <c r="B20" i="35"/>
  <c r="AT19" i="35"/>
  <c r="AP19" i="35"/>
  <c r="AL19" i="35"/>
  <c r="AH19" i="35"/>
  <c r="AD19" i="35"/>
  <c r="Z19" i="35"/>
  <c r="V19" i="35"/>
  <c r="R19" i="35"/>
  <c r="N19" i="35"/>
  <c r="J19" i="35"/>
  <c r="F19" i="35"/>
  <c r="B19" i="35"/>
  <c r="AT18" i="35"/>
  <c r="AP18" i="35"/>
  <c r="AL18" i="35"/>
  <c r="AH18" i="35"/>
  <c r="AD18" i="35"/>
  <c r="Z18" i="35"/>
  <c r="V18" i="35"/>
  <c r="R18" i="35"/>
  <c r="N18" i="35"/>
  <c r="J18" i="35"/>
  <c r="F18" i="35"/>
  <c r="B18" i="35"/>
  <c r="AT17" i="35"/>
  <c r="AP17" i="35"/>
  <c r="AL17" i="35"/>
  <c r="AH17" i="35"/>
  <c r="AD17" i="35"/>
  <c r="Z17" i="35"/>
  <c r="V17" i="35"/>
  <c r="R17" i="35"/>
  <c r="N17" i="35"/>
  <c r="J17" i="35"/>
  <c r="F17" i="35"/>
  <c r="B17" i="35"/>
  <c r="AT16" i="35"/>
  <c r="AP16" i="35"/>
  <c r="AL16" i="35"/>
  <c r="AH16" i="35"/>
  <c r="AD16" i="35"/>
  <c r="Z16" i="35"/>
  <c r="V16" i="35"/>
  <c r="R16" i="35"/>
  <c r="N16" i="35"/>
  <c r="J16" i="35"/>
  <c r="F16" i="35"/>
  <c r="B16" i="35"/>
  <c r="AT15" i="35"/>
  <c r="AP15" i="35"/>
  <c r="AL15" i="35"/>
  <c r="AH15" i="35"/>
  <c r="AD15" i="35"/>
  <c r="Z15" i="35"/>
  <c r="V15" i="35"/>
  <c r="R15" i="35"/>
  <c r="N15" i="35"/>
  <c r="J15" i="35"/>
  <c r="F15" i="35"/>
  <c r="B15" i="35"/>
  <c r="AT14" i="35"/>
  <c r="AP14" i="35"/>
  <c r="AL14" i="35"/>
  <c r="AH14" i="35"/>
  <c r="AD14" i="35"/>
  <c r="Z14" i="35"/>
  <c r="V14" i="35"/>
  <c r="R14" i="35"/>
  <c r="N14" i="35"/>
  <c r="J14" i="35"/>
  <c r="F14" i="35"/>
  <c r="B14" i="35"/>
  <c r="AT13" i="35"/>
  <c r="AP13" i="35"/>
  <c r="AL13" i="35"/>
  <c r="AH13" i="35"/>
  <c r="AD13" i="35"/>
  <c r="Z13" i="35"/>
  <c r="V13" i="35"/>
  <c r="R13" i="35"/>
  <c r="N13" i="35"/>
  <c r="J13" i="35"/>
  <c r="F13" i="35"/>
  <c r="B13" i="35"/>
  <c r="AT12" i="35"/>
  <c r="AP12" i="35"/>
  <c r="AL12" i="35"/>
  <c r="AH12" i="35"/>
  <c r="AD12" i="35"/>
  <c r="Z12" i="35"/>
  <c r="V12" i="35"/>
  <c r="R12" i="35"/>
  <c r="N12" i="35"/>
  <c r="J12" i="35"/>
  <c r="F12" i="35"/>
  <c r="B12" i="35"/>
  <c r="AT11" i="35"/>
  <c r="AP11" i="35"/>
  <c r="AL11" i="35"/>
  <c r="AH11" i="35"/>
  <c r="AD11" i="35"/>
  <c r="Z11" i="35"/>
  <c r="V11" i="35"/>
  <c r="R11" i="35"/>
  <c r="N11" i="35"/>
  <c r="J11" i="35"/>
  <c r="F11" i="35"/>
  <c r="B11" i="35"/>
  <c r="AT10" i="35"/>
  <c r="AP10" i="35"/>
  <c r="AL10" i="35"/>
  <c r="AH10" i="35"/>
  <c r="AD10" i="35"/>
  <c r="Z10" i="35"/>
  <c r="V10" i="35"/>
  <c r="R10" i="35"/>
  <c r="N10" i="35"/>
  <c r="J10" i="35"/>
  <c r="F10" i="35"/>
  <c r="B10" i="35"/>
  <c r="AT9" i="35"/>
  <c r="AP9" i="35"/>
  <c r="AL9" i="35"/>
  <c r="AH9" i="35"/>
  <c r="AD9" i="35"/>
  <c r="Z9" i="35"/>
  <c r="V9" i="35"/>
  <c r="R9" i="35"/>
  <c r="N9" i="35"/>
  <c r="J9" i="35"/>
  <c r="F9" i="35"/>
  <c r="B9" i="35"/>
  <c r="AT8" i="35"/>
  <c r="AP8" i="35"/>
  <c r="AL8" i="35"/>
  <c r="AH8" i="35"/>
  <c r="AD8" i="35"/>
  <c r="Z8" i="35"/>
  <c r="V8" i="35"/>
  <c r="R8" i="35"/>
  <c r="N8" i="35"/>
  <c r="J8" i="35"/>
  <c r="F8" i="35"/>
  <c r="B8" i="35"/>
  <c r="AH7" i="35"/>
  <c r="Z7" i="35"/>
  <c r="F7" i="35"/>
  <c r="B7" i="35"/>
  <c r="AT6" i="35"/>
  <c r="AP6" i="35"/>
  <c r="AL6" i="35"/>
  <c r="AH6" i="35"/>
  <c r="AD6" i="35"/>
  <c r="Z6" i="35"/>
  <c r="V6" i="35"/>
  <c r="R6" i="35"/>
  <c r="N6" i="35"/>
  <c r="J6" i="35"/>
  <c r="F6" i="35"/>
  <c r="B6" i="35"/>
  <c r="AT5" i="35"/>
  <c r="AP5" i="35"/>
  <c r="AL5" i="35"/>
  <c r="AH5" i="35"/>
  <c r="AD5" i="35"/>
  <c r="Z5" i="35"/>
  <c r="V5" i="35"/>
  <c r="R5" i="35"/>
  <c r="N5" i="35"/>
  <c r="J5" i="35"/>
  <c r="F5" i="35"/>
  <c r="B5" i="35"/>
  <c r="AT4" i="35"/>
  <c r="AP4" i="35"/>
  <c r="AL4" i="35"/>
  <c r="AH4" i="35"/>
  <c r="AD4" i="35"/>
  <c r="Z4" i="35"/>
  <c r="V4" i="35"/>
  <c r="R4" i="35"/>
  <c r="N4" i="35"/>
  <c r="J4" i="35"/>
  <c r="F4" i="35"/>
  <c r="B4" i="35"/>
  <c r="AT3" i="35"/>
  <c r="AP3" i="35"/>
  <c r="AL3" i="35"/>
  <c r="AH3" i="35"/>
  <c r="AD3" i="35"/>
  <c r="Z3" i="35"/>
  <c r="V3" i="35"/>
  <c r="R3" i="35"/>
  <c r="N3" i="35"/>
  <c r="J3" i="35"/>
  <c r="F3" i="35"/>
  <c r="B3" i="35"/>
  <c r="AT2" i="35"/>
  <c r="AP2" i="35"/>
  <c r="AL2" i="35"/>
  <c r="AH2" i="35"/>
  <c r="AD2" i="35"/>
  <c r="Z2" i="35"/>
  <c r="V2" i="35"/>
  <c r="N2" i="35"/>
  <c r="J2" i="35"/>
  <c r="F2" i="35"/>
  <c r="AQ35" i="34"/>
  <c r="AM35" i="34"/>
  <c r="AI35" i="34"/>
  <c r="AE35" i="34"/>
  <c r="AA35" i="34"/>
  <c r="W35" i="34"/>
  <c r="AV33" i="34"/>
  <c r="AU33" i="34"/>
  <c r="AR33" i="34"/>
  <c r="AQ33" i="34"/>
  <c r="AN33" i="34"/>
  <c r="AM33" i="34"/>
  <c r="AJ33" i="34"/>
  <c r="AI33" i="34"/>
  <c r="AF33" i="34"/>
  <c r="AE33" i="34"/>
  <c r="AB33" i="34"/>
  <c r="AA33" i="34"/>
  <c r="X33" i="34"/>
  <c r="W33" i="34"/>
  <c r="T33" i="34"/>
  <c r="S33" i="34"/>
  <c r="P33" i="34"/>
  <c r="O33" i="34"/>
  <c r="L33" i="34"/>
  <c r="K33" i="34"/>
  <c r="H33" i="34"/>
  <c r="G33" i="34"/>
  <c r="AT32" i="34"/>
  <c r="AL32" i="34"/>
  <c r="AD32" i="34"/>
  <c r="Z32" i="34"/>
  <c r="R32" i="34"/>
  <c r="N32" i="34"/>
  <c r="J32" i="34"/>
  <c r="B32" i="34"/>
  <c r="AT31" i="34"/>
  <c r="AP31" i="34"/>
  <c r="AL31" i="34"/>
  <c r="AH31" i="34"/>
  <c r="AD31" i="34"/>
  <c r="Z31" i="34"/>
  <c r="V31" i="34"/>
  <c r="R31" i="34"/>
  <c r="N31" i="34"/>
  <c r="J31" i="34"/>
  <c r="B31" i="34"/>
  <c r="AT30" i="34"/>
  <c r="AP30" i="34"/>
  <c r="AL30" i="34"/>
  <c r="AH30" i="34"/>
  <c r="AD30" i="34"/>
  <c r="Z30" i="34"/>
  <c r="V30" i="34"/>
  <c r="R30" i="34"/>
  <c r="N30" i="34"/>
  <c r="J30" i="34"/>
  <c r="B30" i="34"/>
  <c r="AT29" i="34"/>
  <c r="AP29" i="34"/>
  <c r="AL29" i="34"/>
  <c r="AH29" i="34"/>
  <c r="AD29" i="34"/>
  <c r="Z29" i="34"/>
  <c r="V29" i="34"/>
  <c r="R29" i="34"/>
  <c r="N29" i="34"/>
  <c r="J29" i="34"/>
  <c r="F29" i="34"/>
  <c r="B29" i="34"/>
  <c r="AT28" i="34"/>
  <c r="AP28" i="34"/>
  <c r="AL28" i="34"/>
  <c r="AH28" i="34"/>
  <c r="AD28" i="34"/>
  <c r="Z28" i="34"/>
  <c r="V28" i="34"/>
  <c r="R28" i="34"/>
  <c r="N28" i="34"/>
  <c r="J28" i="34"/>
  <c r="F28" i="34"/>
  <c r="B28" i="34"/>
  <c r="AT27" i="34"/>
  <c r="AP27" i="34"/>
  <c r="AL27" i="34"/>
  <c r="AH27" i="34"/>
  <c r="AD27" i="34"/>
  <c r="Z27" i="34"/>
  <c r="V27" i="34"/>
  <c r="R27" i="34"/>
  <c r="N27" i="34"/>
  <c r="J27" i="34"/>
  <c r="F27" i="34"/>
  <c r="B27" i="34"/>
  <c r="AT26" i="34"/>
  <c r="AP26" i="34"/>
  <c r="AL26" i="34"/>
  <c r="AH26" i="34"/>
  <c r="AD26" i="34"/>
  <c r="Z26" i="34"/>
  <c r="V26" i="34"/>
  <c r="R26" i="34"/>
  <c r="N26" i="34"/>
  <c r="J26" i="34"/>
  <c r="F26" i="34"/>
  <c r="B26" i="34"/>
  <c r="AT25" i="34"/>
  <c r="AP25" i="34"/>
  <c r="AL25" i="34"/>
  <c r="AH25" i="34"/>
  <c r="AD25" i="34"/>
  <c r="Z25" i="34"/>
  <c r="V25" i="34"/>
  <c r="R25" i="34"/>
  <c r="N25" i="34"/>
  <c r="J25" i="34"/>
  <c r="F25" i="34"/>
  <c r="B25" i="34"/>
  <c r="AT24" i="34"/>
  <c r="AP24" i="34"/>
  <c r="AL24" i="34"/>
  <c r="AH24" i="34"/>
  <c r="AD24" i="34"/>
  <c r="Z24" i="34"/>
  <c r="V24" i="34"/>
  <c r="R24" i="34"/>
  <c r="N24" i="34"/>
  <c r="J24" i="34"/>
  <c r="F24" i="34"/>
  <c r="B24" i="34"/>
  <c r="AT23" i="34"/>
  <c r="AP23" i="34"/>
  <c r="AL23" i="34"/>
  <c r="AH23" i="34"/>
  <c r="AD23" i="34"/>
  <c r="Z23" i="34"/>
  <c r="V23" i="34"/>
  <c r="R23" i="34"/>
  <c r="N23" i="34"/>
  <c r="J23" i="34"/>
  <c r="F23" i="34"/>
  <c r="B23" i="34"/>
  <c r="AT22" i="34"/>
  <c r="AP22" i="34"/>
  <c r="AL22" i="34"/>
  <c r="AH22" i="34"/>
  <c r="AD22" i="34"/>
  <c r="Z22" i="34"/>
  <c r="V22" i="34"/>
  <c r="R22" i="34"/>
  <c r="N22" i="34"/>
  <c r="J22" i="34"/>
  <c r="F22" i="34"/>
  <c r="B22" i="34"/>
  <c r="AT21" i="34"/>
  <c r="AP21" i="34"/>
  <c r="AL21" i="34"/>
  <c r="AH21" i="34"/>
  <c r="AD21" i="34"/>
  <c r="Z21" i="34"/>
  <c r="V21" i="34"/>
  <c r="R21" i="34"/>
  <c r="N21" i="34"/>
  <c r="J21" i="34"/>
  <c r="F21" i="34"/>
  <c r="B21" i="34"/>
  <c r="AT20" i="34"/>
  <c r="AP20" i="34"/>
  <c r="AL20" i="34"/>
  <c r="AH20" i="34"/>
  <c r="AD20" i="34"/>
  <c r="Z20" i="34"/>
  <c r="V20" i="34"/>
  <c r="R20" i="34"/>
  <c r="N20" i="34"/>
  <c r="J20" i="34"/>
  <c r="F20" i="34"/>
  <c r="B20" i="34"/>
  <c r="AT19" i="34"/>
  <c r="AP19" i="34"/>
  <c r="AL19" i="34"/>
  <c r="AH19" i="34"/>
  <c r="AD19" i="34"/>
  <c r="Z19" i="34"/>
  <c r="V19" i="34"/>
  <c r="R19" i="34"/>
  <c r="N19" i="34"/>
  <c r="J19" i="34"/>
  <c r="F19" i="34"/>
  <c r="B19" i="34"/>
  <c r="AT18" i="34"/>
  <c r="AP18" i="34"/>
  <c r="AL18" i="34"/>
  <c r="AH18" i="34"/>
  <c r="AD18" i="34"/>
  <c r="Z18" i="34"/>
  <c r="V18" i="34"/>
  <c r="R18" i="34"/>
  <c r="N18" i="34"/>
  <c r="J18" i="34"/>
  <c r="F18" i="34"/>
  <c r="B18" i="34"/>
  <c r="AT17" i="34"/>
  <c r="AP17" i="34"/>
  <c r="AL17" i="34"/>
  <c r="AH17" i="34"/>
  <c r="AD17" i="34"/>
  <c r="Z17" i="34"/>
  <c r="V17" i="34"/>
  <c r="R17" i="34"/>
  <c r="N17" i="34"/>
  <c r="J17" i="34"/>
  <c r="F17" i="34"/>
  <c r="B17" i="34"/>
  <c r="AT16" i="34"/>
  <c r="AP16" i="34"/>
  <c r="AL16" i="34"/>
  <c r="AH16" i="34"/>
  <c r="AD16" i="34"/>
  <c r="Z16" i="34"/>
  <c r="V16" i="34"/>
  <c r="R16" i="34"/>
  <c r="N16" i="34"/>
  <c r="J16" i="34"/>
  <c r="F16" i="34"/>
  <c r="B16" i="34"/>
  <c r="AT15" i="34"/>
  <c r="AP15" i="34"/>
  <c r="AL15" i="34"/>
  <c r="AH15" i="34"/>
  <c r="AD15" i="34"/>
  <c r="Z15" i="34"/>
  <c r="V15" i="34"/>
  <c r="R15" i="34"/>
  <c r="N15" i="34"/>
  <c r="J15" i="34"/>
  <c r="F15" i="34"/>
  <c r="B15" i="34"/>
  <c r="AT14" i="34"/>
  <c r="AP14" i="34"/>
  <c r="AL14" i="34"/>
  <c r="AH14" i="34"/>
  <c r="AD14" i="34"/>
  <c r="Z14" i="34"/>
  <c r="V14" i="34"/>
  <c r="R14" i="34"/>
  <c r="N14" i="34"/>
  <c r="J14" i="34"/>
  <c r="F14" i="34"/>
  <c r="B14" i="34"/>
  <c r="AT13" i="34"/>
  <c r="AP13" i="34"/>
  <c r="AL13" i="34"/>
  <c r="AH13" i="34"/>
  <c r="AD13" i="34"/>
  <c r="Z13" i="34"/>
  <c r="V13" i="34"/>
  <c r="R13" i="34"/>
  <c r="N13" i="34"/>
  <c r="J13" i="34"/>
  <c r="F13" i="34"/>
  <c r="B13" i="34"/>
  <c r="AT12" i="34"/>
  <c r="AP12" i="34"/>
  <c r="AL12" i="34"/>
  <c r="AH12" i="34"/>
  <c r="AD12" i="34"/>
  <c r="Z12" i="34"/>
  <c r="V12" i="34"/>
  <c r="R12" i="34"/>
  <c r="N12" i="34"/>
  <c r="J12" i="34"/>
  <c r="F12" i="34"/>
  <c r="B12" i="34"/>
  <c r="AT11" i="34"/>
  <c r="AP11" i="34"/>
  <c r="AL11" i="34"/>
  <c r="AH11" i="34"/>
  <c r="AD11" i="34"/>
  <c r="Z11" i="34"/>
  <c r="V11" i="34"/>
  <c r="R11" i="34"/>
  <c r="N11" i="34"/>
  <c r="J11" i="34"/>
  <c r="F11" i="34"/>
  <c r="B11" i="34"/>
  <c r="AT10" i="34"/>
  <c r="AP10" i="34"/>
  <c r="AL10" i="34"/>
  <c r="AH10" i="34"/>
  <c r="AD10" i="34"/>
  <c r="Z10" i="34"/>
  <c r="V10" i="34"/>
  <c r="R10" i="34"/>
  <c r="N10" i="34"/>
  <c r="J10" i="34"/>
  <c r="F10" i="34"/>
  <c r="B10" i="34"/>
  <c r="AT9" i="34"/>
  <c r="AP9" i="34"/>
  <c r="AL9" i="34"/>
  <c r="AH9" i="34"/>
  <c r="AD9" i="34"/>
  <c r="Z9" i="34"/>
  <c r="V9" i="34"/>
  <c r="R9" i="34"/>
  <c r="N9" i="34"/>
  <c r="J9" i="34"/>
  <c r="F9" i="34"/>
  <c r="B9" i="34"/>
  <c r="AT8" i="34"/>
  <c r="AP8" i="34"/>
  <c r="AL8" i="34"/>
  <c r="AH8" i="34"/>
  <c r="AD8" i="34"/>
  <c r="Z8" i="34"/>
  <c r="V8" i="34"/>
  <c r="R8" i="34"/>
  <c r="N8" i="34"/>
  <c r="J8" i="34"/>
  <c r="F8" i="34"/>
  <c r="B8" i="34"/>
  <c r="AH7" i="34"/>
  <c r="Z7" i="34"/>
  <c r="F7" i="34"/>
  <c r="B7" i="34"/>
  <c r="AT6" i="34"/>
  <c r="AP6" i="34"/>
  <c r="AL6" i="34"/>
  <c r="AH6" i="34"/>
  <c r="AD6" i="34"/>
  <c r="Z6" i="34"/>
  <c r="V6" i="34"/>
  <c r="R6" i="34"/>
  <c r="N6" i="34"/>
  <c r="J6" i="34"/>
  <c r="F6" i="34"/>
  <c r="B6" i="34"/>
  <c r="AT5" i="34"/>
  <c r="AP5" i="34"/>
  <c r="AL5" i="34"/>
  <c r="AH5" i="34"/>
  <c r="AD5" i="34"/>
  <c r="Z5" i="34"/>
  <c r="V5" i="34"/>
  <c r="R5" i="34"/>
  <c r="N5" i="34"/>
  <c r="J5" i="34"/>
  <c r="F5" i="34"/>
  <c r="B5" i="34"/>
  <c r="AT4" i="34"/>
  <c r="AP4" i="34"/>
  <c r="AL4" i="34"/>
  <c r="AH4" i="34"/>
  <c r="AD4" i="34"/>
  <c r="Z4" i="34"/>
  <c r="V4" i="34"/>
  <c r="R4" i="34"/>
  <c r="N4" i="34"/>
  <c r="J4" i="34"/>
  <c r="F4" i="34"/>
  <c r="B4" i="34"/>
  <c r="AT3" i="34"/>
  <c r="AP3" i="34"/>
  <c r="AL3" i="34"/>
  <c r="AH3" i="34"/>
  <c r="AD3" i="34"/>
  <c r="Z3" i="34"/>
  <c r="V3" i="34"/>
  <c r="R3" i="34"/>
  <c r="N3" i="34"/>
  <c r="J3" i="34"/>
  <c r="F3" i="34"/>
  <c r="B3" i="34"/>
  <c r="AT2" i="34"/>
  <c r="AP2" i="34"/>
  <c r="AL2" i="34"/>
  <c r="AH2" i="34"/>
  <c r="AD2" i="34"/>
  <c r="Z2" i="34"/>
  <c r="V2" i="34"/>
  <c r="N2" i="34"/>
  <c r="J2" i="34"/>
  <c r="F2" i="34"/>
  <c r="AQ35" i="33"/>
  <c r="AM35" i="33"/>
  <c r="AI35" i="33"/>
  <c r="AE35" i="33"/>
  <c r="AA35" i="33"/>
  <c r="W35" i="33"/>
  <c r="AV33" i="33"/>
  <c r="AU33" i="33"/>
  <c r="AR33" i="33"/>
  <c r="AQ33" i="33"/>
  <c r="AN33" i="33"/>
  <c r="AM33" i="33"/>
  <c r="AJ33" i="33"/>
  <c r="AI33" i="33"/>
  <c r="AF33" i="33"/>
  <c r="AE33" i="33"/>
  <c r="AB33" i="33"/>
  <c r="AA33" i="33"/>
  <c r="X33" i="33"/>
  <c r="W33" i="33"/>
  <c r="T33" i="33"/>
  <c r="S33" i="33"/>
  <c r="P33" i="33"/>
  <c r="O33" i="33"/>
  <c r="L33" i="33"/>
  <c r="K33" i="33"/>
  <c r="H33" i="33"/>
  <c r="G33" i="33"/>
  <c r="AT32" i="33"/>
  <c r="AL32" i="33"/>
  <c r="AD32" i="33"/>
  <c r="Z32" i="33"/>
  <c r="R32" i="33"/>
  <c r="N32" i="33"/>
  <c r="J32" i="33"/>
  <c r="B32" i="33"/>
  <c r="AT31" i="33"/>
  <c r="AP31" i="33"/>
  <c r="AL31" i="33"/>
  <c r="AH31" i="33"/>
  <c r="AD31" i="33"/>
  <c r="Z31" i="33"/>
  <c r="V31" i="33"/>
  <c r="R31" i="33"/>
  <c r="N31" i="33"/>
  <c r="J31" i="33"/>
  <c r="B31" i="33"/>
  <c r="AT30" i="33"/>
  <c r="AP30" i="33"/>
  <c r="AL30" i="33"/>
  <c r="AH30" i="33"/>
  <c r="AD30" i="33"/>
  <c r="Z30" i="33"/>
  <c r="V30" i="33"/>
  <c r="R30" i="33"/>
  <c r="N30" i="33"/>
  <c r="J30" i="33"/>
  <c r="B30" i="33"/>
  <c r="AT29" i="33"/>
  <c r="AP29" i="33"/>
  <c r="AL29" i="33"/>
  <c r="AH29" i="33"/>
  <c r="AD29" i="33"/>
  <c r="Z29" i="33"/>
  <c r="V29" i="33"/>
  <c r="R29" i="33"/>
  <c r="N29" i="33"/>
  <c r="J29" i="33"/>
  <c r="F29" i="33"/>
  <c r="B29" i="33"/>
  <c r="AT28" i="33"/>
  <c r="AP28" i="33"/>
  <c r="AL28" i="33"/>
  <c r="AH28" i="33"/>
  <c r="AD28" i="33"/>
  <c r="Z28" i="33"/>
  <c r="V28" i="33"/>
  <c r="R28" i="33"/>
  <c r="N28" i="33"/>
  <c r="J28" i="33"/>
  <c r="F28" i="33"/>
  <c r="B28" i="33"/>
  <c r="AT27" i="33"/>
  <c r="AP27" i="33"/>
  <c r="AL27" i="33"/>
  <c r="AH27" i="33"/>
  <c r="AD27" i="33"/>
  <c r="Z27" i="33"/>
  <c r="V27" i="33"/>
  <c r="R27" i="33"/>
  <c r="N27" i="33"/>
  <c r="J27" i="33"/>
  <c r="F27" i="33"/>
  <c r="B27" i="33"/>
  <c r="AT26" i="33"/>
  <c r="AP26" i="33"/>
  <c r="AL26" i="33"/>
  <c r="AH26" i="33"/>
  <c r="AD26" i="33"/>
  <c r="Z26" i="33"/>
  <c r="V26" i="33"/>
  <c r="R26" i="33"/>
  <c r="N26" i="33"/>
  <c r="J26" i="33"/>
  <c r="F26" i="33"/>
  <c r="B26" i="33"/>
  <c r="AT25" i="33"/>
  <c r="AP25" i="33"/>
  <c r="AL25" i="33"/>
  <c r="AH25" i="33"/>
  <c r="AD25" i="33"/>
  <c r="Z25" i="33"/>
  <c r="V25" i="33"/>
  <c r="R25" i="33"/>
  <c r="N25" i="33"/>
  <c r="J25" i="33"/>
  <c r="F25" i="33"/>
  <c r="B25" i="33"/>
  <c r="AT24" i="33"/>
  <c r="AP24" i="33"/>
  <c r="AL24" i="33"/>
  <c r="AH24" i="33"/>
  <c r="AD24" i="33"/>
  <c r="Z24" i="33"/>
  <c r="V24" i="33"/>
  <c r="R24" i="33"/>
  <c r="N24" i="33"/>
  <c r="J24" i="33"/>
  <c r="F24" i="33"/>
  <c r="B24" i="33"/>
  <c r="AT23" i="33"/>
  <c r="AP23" i="33"/>
  <c r="AL23" i="33"/>
  <c r="AH23" i="33"/>
  <c r="AD23" i="33"/>
  <c r="Z23" i="33"/>
  <c r="V23" i="33"/>
  <c r="R23" i="33"/>
  <c r="N23" i="33"/>
  <c r="J23" i="33"/>
  <c r="F23" i="33"/>
  <c r="B23" i="33"/>
  <c r="AT22" i="33"/>
  <c r="AP22" i="33"/>
  <c r="AL22" i="33"/>
  <c r="AH22" i="33"/>
  <c r="AD22" i="33"/>
  <c r="Z22" i="33"/>
  <c r="V22" i="33"/>
  <c r="R22" i="33"/>
  <c r="N22" i="33"/>
  <c r="J22" i="33"/>
  <c r="F22" i="33"/>
  <c r="B22" i="33"/>
  <c r="AT21" i="33"/>
  <c r="AP21" i="33"/>
  <c r="AL21" i="33"/>
  <c r="AH21" i="33"/>
  <c r="AD21" i="33"/>
  <c r="Z21" i="33"/>
  <c r="V21" i="33"/>
  <c r="R21" i="33"/>
  <c r="N21" i="33"/>
  <c r="J21" i="33"/>
  <c r="F21" i="33"/>
  <c r="B21" i="33"/>
  <c r="AT20" i="33"/>
  <c r="AP20" i="33"/>
  <c r="AL20" i="33"/>
  <c r="AH20" i="33"/>
  <c r="AD20" i="33"/>
  <c r="Z20" i="33"/>
  <c r="V20" i="33"/>
  <c r="R20" i="33"/>
  <c r="N20" i="33"/>
  <c r="J20" i="33"/>
  <c r="F20" i="33"/>
  <c r="B20" i="33"/>
  <c r="AT19" i="33"/>
  <c r="AP19" i="33"/>
  <c r="AL19" i="33"/>
  <c r="AH19" i="33"/>
  <c r="AD19" i="33"/>
  <c r="Z19" i="33"/>
  <c r="V19" i="33"/>
  <c r="R19" i="33"/>
  <c r="N19" i="33"/>
  <c r="J19" i="33"/>
  <c r="F19" i="33"/>
  <c r="B19" i="33"/>
  <c r="AT18" i="33"/>
  <c r="AP18" i="33"/>
  <c r="AL18" i="33"/>
  <c r="AH18" i="33"/>
  <c r="AD18" i="33"/>
  <c r="Z18" i="33"/>
  <c r="V18" i="33"/>
  <c r="R18" i="33"/>
  <c r="N18" i="33"/>
  <c r="J18" i="33"/>
  <c r="F18" i="33"/>
  <c r="B18" i="33"/>
  <c r="AT17" i="33"/>
  <c r="AP17" i="33"/>
  <c r="AL17" i="33"/>
  <c r="AH17" i="33"/>
  <c r="AD17" i="33"/>
  <c r="Z17" i="33"/>
  <c r="V17" i="33"/>
  <c r="R17" i="33"/>
  <c r="N17" i="33"/>
  <c r="J17" i="33"/>
  <c r="F17" i="33"/>
  <c r="B17" i="33"/>
  <c r="AT16" i="33"/>
  <c r="AP16" i="33"/>
  <c r="AL16" i="33"/>
  <c r="AH16" i="33"/>
  <c r="AD16" i="33"/>
  <c r="Z16" i="33"/>
  <c r="V16" i="33"/>
  <c r="R16" i="33"/>
  <c r="N16" i="33"/>
  <c r="J16" i="33"/>
  <c r="F16" i="33"/>
  <c r="B16" i="33"/>
  <c r="AT15" i="33"/>
  <c r="AP15" i="33"/>
  <c r="AL15" i="33"/>
  <c r="AH15" i="33"/>
  <c r="AD15" i="33"/>
  <c r="Z15" i="33"/>
  <c r="V15" i="33"/>
  <c r="R15" i="33"/>
  <c r="N15" i="33"/>
  <c r="J15" i="33"/>
  <c r="F15" i="33"/>
  <c r="B15" i="33"/>
  <c r="AT14" i="33"/>
  <c r="AP14" i="33"/>
  <c r="AL14" i="33"/>
  <c r="AH14" i="33"/>
  <c r="AD14" i="33"/>
  <c r="Z14" i="33"/>
  <c r="V14" i="33"/>
  <c r="R14" i="33"/>
  <c r="N14" i="33"/>
  <c r="J14" i="33"/>
  <c r="F14" i="33"/>
  <c r="B14" i="33"/>
  <c r="AT13" i="33"/>
  <c r="AP13" i="33"/>
  <c r="AL13" i="33"/>
  <c r="AH13" i="33"/>
  <c r="AD13" i="33"/>
  <c r="Z13" i="33"/>
  <c r="V13" i="33"/>
  <c r="R13" i="33"/>
  <c r="N13" i="33"/>
  <c r="J13" i="33"/>
  <c r="F13" i="33"/>
  <c r="B13" i="33"/>
  <c r="AT12" i="33"/>
  <c r="AP12" i="33"/>
  <c r="AL12" i="33"/>
  <c r="AH12" i="33"/>
  <c r="AD12" i="33"/>
  <c r="Z12" i="33"/>
  <c r="V12" i="33"/>
  <c r="R12" i="33"/>
  <c r="N12" i="33"/>
  <c r="J12" i="33"/>
  <c r="F12" i="33"/>
  <c r="B12" i="33"/>
  <c r="AT11" i="33"/>
  <c r="AP11" i="33"/>
  <c r="AL11" i="33"/>
  <c r="AH11" i="33"/>
  <c r="AD11" i="33"/>
  <c r="Z11" i="33"/>
  <c r="V11" i="33"/>
  <c r="R11" i="33"/>
  <c r="N11" i="33"/>
  <c r="J11" i="33"/>
  <c r="F11" i="33"/>
  <c r="B11" i="33"/>
  <c r="AT10" i="33"/>
  <c r="AP10" i="33"/>
  <c r="AL10" i="33"/>
  <c r="AH10" i="33"/>
  <c r="AD10" i="33"/>
  <c r="Z10" i="33"/>
  <c r="V10" i="33"/>
  <c r="R10" i="33"/>
  <c r="N10" i="33"/>
  <c r="J10" i="33"/>
  <c r="F10" i="33"/>
  <c r="B10" i="33"/>
  <c r="AT9" i="33"/>
  <c r="AP9" i="33"/>
  <c r="AL9" i="33"/>
  <c r="AH9" i="33"/>
  <c r="AD9" i="33"/>
  <c r="Z9" i="33"/>
  <c r="V9" i="33"/>
  <c r="R9" i="33"/>
  <c r="N9" i="33"/>
  <c r="J9" i="33"/>
  <c r="F9" i="33"/>
  <c r="B9" i="33"/>
  <c r="AT8" i="33"/>
  <c r="AP8" i="33"/>
  <c r="AL8" i="33"/>
  <c r="AH8" i="33"/>
  <c r="AD8" i="33"/>
  <c r="Z8" i="33"/>
  <c r="V8" i="33"/>
  <c r="R8" i="33"/>
  <c r="N8" i="33"/>
  <c r="J8" i="33"/>
  <c r="F8" i="33"/>
  <c r="B8" i="33"/>
  <c r="AH7" i="33"/>
  <c r="Z7" i="33"/>
  <c r="F7" i="33"/>
  <c r="B7" i="33"/>
  <c r="AT6" i="33"/>
  <c r="AP6" i="33"/>
  <c r="AL6" i="33"/>
  <c r="AH6" i="33"/>
  <c r="AD6" i="33"/>
  <c r="Z6" i="33"/>
  <c r="V6" i="33"/>
  <c r="R6" i="33"/>
  <c r="N6" i="33"/>
  <c r="J6" i="33"/>
  <c r="F6" i="33"/>
  <c r="B6" i="33"/>
  <c r="AT5" i="33"/>
  <c r="AP5" i="33"/>
  <c r="AL5" i="33"/>
  <c r="AH5" i="33"/>
  <c r="AD5" i="33"/>
  <c r="Z5" i="33"/>
  <c r="V5" i="33"/>
  <c r="R5" i="33"/>
  <c r="N5" i="33"/>
  <c r="J5" i="33"/>
  <c r="F5" i="33"/>
  <c r="B5" i="33"/>
  <c r="AT4" i="33"/>
  <c r="AP4" i="33"/>
  <c r="AL4" i="33"/>
  <c r="AH4" i="33"/>
  <c r="AD4" i="33"/>
  <c r="Z4" i="33"/>
  <c r="V4" i="33"/>
  <c r="R4" i="33"/>
  <c r="N4" i="33"/>
  <c r="J4" i="33"/>
  <c r="F4" i="33"/>
  <c r="B4" i="33"/>
  <c r="AT3" i="33"/>
  <c r="AP3" i="33"/>
  <c r="AL3" i="33"/>
  <c r="AH3" i="33"/>
  <c r="AD3" i="33"/>
  <c r="Z3" i="33"/>
  <c r="V3" i="33"/>
  <c r="R3" i="33"/>
  <c r="N3" i="33"/>
  <c r="J3" i="33"/>
  <c r="F3" i="33"/>
  <c r="B3" i="33"/>
  <c r="AT2" i="33"/>
  <c r="AP2" i="33"/>
  <c r="AL2" i="33"/>
  <c r="AH2" i="33"/>
  <c r="AD2" i="33"/>
  <c r="Z2" i="33"/>
  <c r="V2" i="33"/>
  <c r="N2" i="33"/>
  <c r="J2" i="33"/>
  <c r="F2" i="33"/>
  <c r="AQ35" i="32"/>
  <c r="AM35" i="32"/>
  <c r="AI35" i="32"/>
  <c r="AE35" i="32"/>
  <c r="AA35" i="32"/>
  <c r="W35" i="32"/>
  <c r="AV33" i="32"/>
  <c r="AU33" i="32"/>
  <c r="AR33" i="32"/>
  <c r="AQ33" i="32"/>
  <c r="AN33" i="32"/>
  <c r="AM33" i="32"/>
  <c r="AJ33" i="32"/>
  <c r="AI33" i="32"/>
  <c r="AF33" i="32"/>
  <c r="AE33" i="32"/>
  <c r="AB33" i="32"/>
  <c r="AA33" i="32"/>
  <c r="X33" i="32"/>
  <c r="W33" i="32"/>
  <c r="T33" i="32"/>
  <c r="S33" i="32"/>
  <c r="P33" i="32"/>
  <c r="O33" i="32"/>
  <c r="L33" i="32"/>
  <c r="K33" i="32"/>
  <c r="H33" i="32"/>
  <c r="G33" i="32"/>
  <c r="AT32" i="32"/>
  <c r="AL32" i="32"/>
  <c r="AD32" i="32"/>
  <c r="Z32" i="32"/>
  <c r="R32" i="32"/>
  <c r="N32" i="32"/>
  <c r="J32" i="32"/>
  <c r="B32" i="32"/>
  <c r="AT31" i="32"/>
  <c r="AP31" i="32"/>
  <c r="AL31" i="32"/>
  <c r="AH31" i="32"/>
  <c r="AD31" i="32"/>
  <c r="Z31" i="32"/>
  <c r="V31" i="32"/>
  <c r="R31" i="32"/>
  <c r="N31" i="32"/>
  <c r="J31" i="32"/>
  <c r="B31" i="32"/>
  <c r="AT30" i="32"/>
  <c r="AP30" i="32"/>
  <c r="AL30" i="32"/>
  <c r="AH30" i="32"/>
  <c r="AD30" i="32"/>
  <c r="Z30" i="32"/>
  <c r="V30" i="32"/>
  <c r="R30" i="32"/>
  <c r="N30" i="32"/>
  <c r="J30" i="32"/>
  <c r="B30" i="32"/>
  <c r="AT29" i="32"/>
  <c r="AP29" i="32"/>
  <c r="AL29" i="32"/>
  <c r="AH29" i="32"/>
  <c r="AD29" i="32"/>
  <c r="Z29" i="32"/>
  <c r="V29" i="32"/>
  <c r="R29" i="32"/>
  <c r="N29" i="32"/>
  <c r="J29" i="32"/>
  <c r="F29" i="32"/>
  <c r="B29" i="32"/>
  <c r="AT28" i="32"/>
  <c r="AP28" i="32"/>
  <c r="AL28" i="32"/>
  <c r="AH28" i="32"/>
  <c r="AD28" i="32"/>
  <c r="Z28" i="32"/>
  <c r="V28" i="32"/>
  <c r="R28" i="32"/>
  <c r="N28" i="32"/>
  <c r="J28" i="32"/>
  <c r="F28" i="32"/>
  <c r="B28" i="32"/>
  <c r="AT27" i="32"/>
  <c r="AP27" i="32"/>
  <c r="AL27" i="32"/>
  <c r="AH27" i="32"/>
  <c r="AD27" i="32"/>
  <c r="Z27" i="32"/>
  <c r="V27" i="32"/>
  <c r="R27" i="32"/>
  <c r="N27" i="32"/>
  <c r="J27" i="32"/>
  <c r="F27" i="32"/>
  <c r="B27" i="32"/>
  <c r="AT26" i="32"/>
  <c r="AP26" i="32"/>
  <c r="AL26" i="32"/>
  <c r="AH26" i="32"/>
  <c r="AD26" i="32"/>
  <c r="Z26" i="32"/>
  <c r="V26" i="32"/>
  <c r="R26" i="32"/>
  <c r="N26" i="32"/>
  <c r="J26" i="32"/>
  <c r="F26" i="32"/>
  <c r="B26" i="32"/>
  <c r="AT25" i="32"/>
  <c r="AP25" i="32"/>
  <c r="AL25" i="32"/>
  <c r="AH25" i="32"/>
  <c r="AD25" i="32"/>
  <c r="Z25" i="32"/>
  <c r="V25" i="32"/>
  <c r="R25" i="32"/>
  <c r="N25" i="32"/>
  <c r="J25" i="32"/>
  <c r="F25" i="32"/>
  <c r="B25" i="32"/>
  <c r="AT24" i="32"/>
  <c r="AP24" i="32"/>
  <c r="AL24" i="32"/>
  <c r="AH24" i="32"/>
  <c r="AD24" i="32"/>
  <c r="Z24" i="32"/>
  <c r="V24" i="32"/>
  <c r="R24" i="32"/>
  <c r="N24" i="32"/>
  <c r="J24" i="32"/>
  <c r="F24" i="32"/>
  <c r="B24" i="32"/>
  <c r="AT23" i="32"/>
  <c r="AP23" i="32"/>
  <c r="AL23" i="32"/>
  <c r="AH23" i="32"/>
  <c r="AD23" i="32"/>
  <c r="Z23" i="32"/>
  <c r="V23" i="32"/>
  <c r="R23" i="32"/>
  <c r="N23" i="32"/>
  <c r="J23" i="32"/>
  <c r="F23" i="32"/>
  <c r="B23" i="32"/>
  <c r="AT22" i="32"/>
  <c r="AP22" i="32"/>
  <c r="AL22" i="32"/>
  <c r="AH22" i="32"/>
  <c r="AD22" i="32"/>
  <c r="Z22" i="32"/>
  <c r="V22" i="32"/>
  <c r="R22" i="32"/>
  <c r="N22" i="32"/>
  <c r="J22" i="32"/>
  <c r="F22" i="32"/>
  <c r="B22" i="32"/>
  <c r="AT21" i="32"/>
  <c r="AP21" i="32"/>
  <c r="AL21" i="32"/>
  <c r="AH21" i="32"/>
  <c r="AD21" i="32"/>
  <c r="Z21" i="32"/>
  <c r="V21" i="32"/>
  <c r="R21" i="32"/>
  <c r="N21" i="32"/>
  <c r="J21" i="32"/>
  <c r="F21" i="32"/>
  <c r="B21" i="32"/>
  <c r="AT20" i="32"/>
  <c r="AP20" i="32"/>
  <c r="AL20" i="32"/>
  <c r="AH20" i="32"/>
  <c r="AD20" i="32"/>
  <c r="Z20" i="32"/>
  <c r="V20" i="32"/>
  <c r="R20" i="32"/>
  <c r="N20" i="32"/>
  <c r="J20" i="32"/>
  <c r="F20" i="32"/>
  <c r="B20" i="32"/>
  <c r="AT19" i="32"/>
  <c r="AP19" i="32"/>
  <c r="AL19" i="32"/>
  <c r="AH19" i="32"/>
  <c r="AD19" i="32"/>
  <c r="Z19" i="32"/>
  <c r="V19" i="32"/>
  <c r="R19" i="32"/>
  <c r="N19" i="32"/>
  <c r="J19" i="32"/>
  <c r="F19" i="32"/>
  <c r="B19" i="32"/>
  <c r="AT18" i="32"/>
  <c r="AP18" i="32"/>
  <c r="AL18" i="32"/>
  <c r="AH18" i="32"/>
  <c r="AD18" i="32"/>
  <c r="Z18" i="32"/>
  <c r="V18" i="32"/>
  <c r="R18" i="32"/>
  <c r="N18" i="32"/>
  <c r="J18" i="32"/>
  <c r="F18" i="32"/>
  <c r="B18" i="32"/>
  <c r="AT17" i="32"/>
  <c r="AP17" i="32"/>
  <c r="AL17" i="32"/>
  <c r="AH17" i="32"/>
  <c r="AD17" i="32"/>
  <c r="Z17" i="32"/>
  <c r="V17" i="32"/>
  <c r="R17" i="32"/>
  <c r="N17" i="32"/>
  <c r="J17" i="32"/>
  <c r="F17" i="32"/>
  <c r="B17" i="32"/>
  <c r="AT16" i="32"/>
  <c r="AP16" i="32"/>
  <c r="AL16" i="32"/>
  <c r="AH16" i="32"/>
  <c r="AD16" i="32"/>
  <c r="Z16" i="32"/>
  <c r="V16" i="32"/>
  <c r="R16" i="32"/>
  <c r="N16" i="32"/>
  <c r="J16" i="32"/>
  <c r="F16" i="32"/>
  <c r="B16" i="32"/>
  <c r="AT15" i="32"/>
  <c r="AP15" i="32"/>
  <c r="AL15" i="32"/>
  <c r="AH15" i="32"/>
  <c r="AD15" i="32"/>
  <c r="Z15" i="32"/>
  <c r="V15" i="32"/>
  <c r="R15" i="32"/>
  <c r="N15" i="32"/>
  <c r="J15" i="32"/>
  <c r="F15" i="32"/>
  <c r="B15" i="32"/>
  <c r="AT14" i="32"/>
  <c r="AP14" i="32"/>
  <c r="AL14" i="32"/>
  <c r="AH14" i="32"/>
  <c r="AD14" i="32"/>
  <c r="Z14" i="32"/>
  <c r="V14" i="32"/>
  <c r="R14" i="32"/>
  <c r="N14" i="32"/>
  <c r="J14" i="32"/>
  <c r="F14" i="32"/>
  <c r="B14" i="32"/>
  <c r="AT13" i="32"/>
  <c r="AP13" i="32"/>
  <c r="AL13" i="32"/>
  <c r="AH13" i="32"/>
  <c r="AD13" i="32"/>
  <c r="Z13" i="32"/>
  <c r="V13" i="32"/>
  <c r="R13" i="32"/>
  <c r="N13" i="32"/>
  <c r="J13" i="32"/>
  <c r="F13" i="32"/>
  <c r="B13" i="32"/>
  <c r="AT12" i="32"/>
  <c r="AP12" i="32"/>
  <c r="AL12" i="32"/>
  <c r="AH12" i="32"/>
  <c r="AD12" i="32"/>
  <c r="Z12" i="32"/>
  <c r="V12" i="32"/>
  <c r="R12" i="32"/>
  <c r="N12" i="32"/>
  <c r="J12" i="32"/>
  <c r="F12" i="32"/>
  <c r="B12" i="32"/>
  <c r="AT11" i="32"/>
  <c r="AP11" i="32"/>
  <c r="AL11" i="32"/>
  <c r="AH11" i="32"/>
  <c r="AD11" i="32"/>
  <c r="Z11" i="32"/>
  <c r="V11" i="32"/>
  <c r="R11" i="32"/>
  <c r="N11" i="32"/>
  <c r="J11" i="32"/>
  <c r="F11" i="32"/>
  <c r="B11" i="32"/>
  <c r="AT10" i="32"/>
  <c r="AP10" i="32"/>
  <c r="AL10" i="32"/>
  <c r="AH10" i="32"/>
  <c r="AD10" i="32"/>
  <c r="Z10" i="32"/>
  <c r="V10" i="32"/>
  <c r="R10" i="32"/>
  <c r="N10" i="32"/>
  <c r="J10" i="32"/>
  <c r="F10" i="32"/>
  <c r="B10" i="32"/>
  <c r="AT9" i="32"/>
  <c r="AP9" i="32"/>
  <c r="AL9" i="32"/>
  <c r="AH9" i="32"/>
  <c r="AD9" i="32"/>
  <c r="Z9" i="32"/>
  <c r="V9" i="32"/>
  <c r="R9" i="32"/>
  <c r="N9" i="32"/>
  <c r="J9" i="32"/>
  <c r="F9" i="32"/>
  <c r="B9" i="32"/>
  <c r="AT8" i="32"/>
  <c r="AP8" i="32"/>
  <c r="AL8" i="32"/>
  <c r="AH8" i="32"/>
  <c r="AD8" i="32"/>
  <c r="Z8" i="32"/>
  <c r="V8" i="32"/>
  <c r="R8" i="32"/>
  <c r="N8" i="32"/>
  <c r="J8" i="32"/>
  <c r="F8" i="32"/>
  <c r="B8" i="32"/>
  <c r="AH7" i="32"/>
  <c r="Z7" i="32"/>
  <c r="F7" i="32"/>
  <c r="B7" i="32"/>
  <c r="AT6" i="32"/>
  <c r="AP6" i="32"/>
  <c r="AL6" i="32"/>
  <c r="AH6" i="32"/>
  <c r="AD6" i="32"/>
  <c r="Z6" i="32"/>
  <c r="V6" i="32"/>
  <c r="R6" i="32"/>
  <c r="N6" i="32"/>
  <c r="J6" i="32"/>
  <c r="F6" i="32"/>
  <c r="B6" i="32"/>
  <c r="AT5" i="32"/>
  <c r="AP5" i="32"/>
  <c r="AL5" i="32"/>
  <c r="AH5" i="32"/>
  <c r="AD5" i="32"/>
  <c r="Z5" i="32"/>
  <c r="V5" i="32"/>
  <c r="R5" i="32"/>
  <c r="N5" i="32"/>
  <c r="J5" i="32"/>
  <c r="F5" i="32"/>
  <c r="B5" i="32"/>
  <c r="AT4" i="32"/>
  <c r="AP4" i="32"/>
  <c r="AL4" i="32"/>
  <c r="AH4" i="32"/>
  <c r="AD4" i="32"/>
  <c r="Z4" i="32"/>
  <c r="V4" i="32"/>
  <c r="R4" i="32"/>
  <c r="N4" i="32"/>
  <c r="J4" i="32"/>
  <c r="F4" i="32"/>
  <c r="B4" i="32"/>
  <c r="AT3" i="32"/>
  <c r="AP3" i="32"/>
  <c r="AL3" i="32"/>
  <c r="AH3" i="32"/>
  <c r="AD3" i="32"/>
  <c r="Z3" i="32"/>
  <c r="V3" i="32"/>
  <c r="R3" i="32"/>
  <c r="N3" i="32"/>
  <c r="J3" i="32"/>
  <c r="F3" i="32"/>
  <c r="B3" i="32"/>
  <c r="AT2" i="32"/>
  <c r="AP2" i="32"/>
  <c r="AL2" i="32"/>
  <c r="AH2" i="32"/>
  <c r="AD2" i="32"/>
  <c r="Z2" i="32"/>
  <c r="V2" i="32"/>
  <c r="N2" i="32"/>
  <c r="J2" i="32"/>
  <c r="F2" i="32"/>
  <c r="AQ35" i="46"/>
  <c r="AM35" i="46"/>
  <c r="AI35" i="46"/>
  <c r="AE35" i="46"/>
  <c r="AA35" i="46"/>
  <c r="W35" i="46"/>
  <c r="AV33" i="46"/>
  <c r="AU33" i="46"/>
  <c r="AR33" i="46"/>
  <c r="AQ33" i="46"/>
  <c r="AN33" i="46"/>
  <c r="AM33" i="46"/>
  <c r="AJ33" i="46"/>
  <c r="AI33" i="46"/>
  <c r="AF33" i="46"/>
  <c r="AE33" i="46"/>
  <c r="AB33" i="46"/>
  <c r="AA33" i="46"/>
  <c r="X33" i="46"/>
  <c r="W33" i="46"/>
  <c r="T33" i="46"/>
  <c r="S33" i="46"/>
  <c r="P33" i="46"/>
  <c r="O33" i="46"/>
  <c r="L33" i="46"/>
  <c r="K33" i="46"/>
  <c r="H33" i="46"/>
  <c r="G33" i="46"/>
  <c r="AT32" i="46"/>
  <c r="AL32" i="46"/>
  <c r="AD32" i="46"/>
  <c r="Z32" i="46"/>
  <c r="R32" i="46"/>
  <c r="N32" i="46"/>
  <c r="J32" i="46"/>
  <c r="B32" i="46"/>
  <c r="AT31" i="46"/>
  <c r="AP31" i="46"/>
  <c r="AL31" i="46"/>
  <c r="AH31" i="46"/>
  <c r="AD31" i="46"/>
  <c r="Z31" i="46"/>
  <c r="V31" i="46"/>
  <c r="R31" i="46"/>
  <c r="N31" i="46"/>
  <c r="J31" i="46"/>
  <c r="B31" i="46"/>
  <c r="AT30" i="46"/>
  <c r="AP30" i="46"/>
  <c r="AL30" i="46"/>
  <c r="AH30" i="46"/>
  <c r="AD30" i="46"/>
  <c r="Z30" i="46"/>
  <c r="V30" i="46"/>
  <c r="R30" i="46"/>
  <c r="N30" i="46"/>
  <c r="J30" i="46"/>
  <c r="B30" i="46"/>
  <c r="AT29" i="46"/>
  <c r="AP29" i="46"/>
  <c r="AL29" i="46"/>
  <c r="AH29" i="46"/>
  <c r="AD29" i="46"/>
  <c r="Z29" i="46"/>
  <c r="V29" i="46"/>
  <c r="R29" i="46"/>
  <c r="N29" i="46"/>
  <c r="J29" i="46"/>
  <c r="F29" i="46"/>
  <c r="B29" i="46"/>
  <c r="AT28" i="46"/>
  <c r="AP28" i="46"/>
  <c r="AL28" i="46"/>
  <c r="AH28" i="46"/>
  <c r="AD28" i="46"/>
  <c r="Z28" i="46"/>
  <c r="V28" i="46"/>
  <c r="R28" i="46"/>
  <c r="N28" i="46"/>
  <c r="J28" i="46"/>
  <c r="F28" i="46"/>
  <c r="B28" i="46"/>
  <c r="AT27" i="46"/>
  <c r="AP27" i="46"/>
  <c r="AL27" i="46"/>
  <c r="AH27" i="46"/>
  <c r="AD27" i="46"/>
  <c r="Z27" i="46"/>
  <c r="V27" i="46"/>
  <c r="R27" i="46"/>
  <c r="N27" i="46"/>
  <c r="J27" i="46"/>
  <c r="F27" i="46"/>
  <c r="B27" i="46"/>
  <c r="AT26" i="46"/>
  <c r="AP26" i="46"/>
  <c r="AL26" i="46"/>
  <c r="AH26" i="46"/>
  <c r="AD26" i="46"/>
  <c r="Z26" i="46"/>
  <c r="V26" i="46"/>
  <c r="R26" i="46"/>
  <c r="N26" i="46"/>
  <c r="J26" i="46"/>
  <c r="F26" i="46"/>
  <c r="B26" i="46"/>
  <c r="AT25" i="46"/>
  <c r="AP25" i="46"/>
  <c r="AL25" i="46"/>
  <c r="AH25" i="46"/>
  <c r="AD25" i="46"/>
  <c r="Z25" i="46"/>
  <c r="V25" i="46"/>
  <c r="R25" i="46"/>
  <c r="N25" i="46"/>
  <c r="J25" i="46"/>
  <c r="F25" i="46"/>
  <c r="B25" i="46"/>
  <c r="AT24" i="46"/>
  <c r="AP24" i="46"/>
  <c r="AL24" i="46"/>
  <c r="AH24" i="46"/>
  <c r="AD24" i="46"/>
  <c r="Z24" i="46"/>
  <c r="V24" i="46"/>
  <c r="R24" i="46"/>
  <c r="N24" i="46"/>
  <c r="J24" i="46"/>
  <c r="F24" i="46"/>
  <c r="B24" i="46"/>
  <c r="AT23" i="46"/>
  <c r="AP23" i="46"/>
  <c r="AL23" i="46"/>
  <c r="AH23" i="46"/>
  <c r="AD23" i="46"/>
  <c r="Z23" i="46"/>
  <c r="V23" i="46"/>
  <c r="R23" i="46"/>
  <c r="N23" i="46"/>
  <c r="J23" i="46"/>
  <c r="F23" i="46"/>
  <c r="B23" i="46"/>
  <c r="AT22" i="46"/>
  <c r="AP22" i="46"/>
  <c r="AL22" i="46"/>
  <c r="AH22" i="46"/>
  <c r="AD22" i="46"/>
  <c r="Z22" i="46"/>
  <c r="V22" i="46"/>
  <c r="R22" i="46"/>
  <c r="N22" i="46"/>
  <c r="J22" i="46"/>
  <c r="F22" i="46"/>
  <c r="B22" i="46"/>
  <c r="AT21" i="46"/>
  <c r="AP21" i="46"/>
  <c r="AL21" i="46"/>
  <c r="AH21" i="46"/>
  <c r="AD21" i="46"/>
  <c r="Z21" i="46"/>
  <c r="V21" i="46"/>
  <c r="R21" i="46"/>
  <c r="N21" i="46"/>
  <c r="J21" i="46"/>
  <c r="F21" i="46"/>
  <c r="B21" i="46"/>
  <c r="AT20" i="46"/>
  <c r="AP20" i="46"/>
  <c r="AL20" i="46"/>
  <c r="AH20" i="46"/>
  <c r="AD20" i="46"/>
  <c r="Z20" i="46"/>
  <c r="V20" i="46"/>
  <c r="R20" i="46"/>
  <c r="N20" i="46"/>
  <c r="J20" i="46"/>
  <c r="F20" i="46"/>
  <c r="B20" i="46"/>
  <c r="AT19" i="46"/>
  <c r="AP19" i="46"/>
  <c r="AL19" i="46"/>
  <c r="AH19" i="46"/>
  <c r="AD19" i="46"/>
  <c r="Z19" i="46"/>
  <c r="V19" i="46"/>
  <c r="R19" i="46"/>
  <c r="N19" i="46"/>
  <c r="J19" i="46"/>
  <c r="F19" i="46"/>
  <c r="B19" i="46"/>
  <c r="AT18" i="46"/>
  <c r="AP18" i="46"/>
  <c r="AL18" i="46"/>
  <c r="AH18" i="46"/>
  <c r="AD18" i="46"/>
  <c r="Z18" i="46"/>
  <c r="V18" i="46"/>
  <c r="R18" i="46"/>
  <c r="N18" i="46"/>
  <c r="J18" i="46"/>
  <c r="F18" i="46"/>
  <c r="B18" i="46"/>
  <c r="AT17" i="46"/>
  <c r="AP17" i="46"/>
  <c r="AL17" i="46"/>
  <c r="AH17" i="46"/>
  <c r="AD17" i="46"/>
  <c r="Z17" i="46"/>
  <c r="V17" i="46"/>
  <c r="R17" i="46"/>
  <c r="N17" i="46"/>
  <c r="J17" i="46"/>
  <c r="F17" i="46"/>
  <c r="B17" i="46"/>
  <c r="AT16" i="46"/>
  <c r="AP16" i="46"/>
  <c r="AL16" i="46"/>
  <c r="AH16" i="46"/>
  <c r="AD16" i="46"/>
  <c r="Z16" i="46"/>
  <c r="V16" i="46"/>
  <c r="R16" i="46"/>
  <c r="N16" i="46"/>
  <c r="J16" i="46"/>
  <c r="F16" i="46"/>
  <c r="B16" i="46"/>
  <c r="AT15" i="46"/>
  <c r="AP15" i="46"/>
  <c r="AL15" i="46"/>
  <c r="AH15" i="46"/>
  <c r="AD15" i="46"/>
  <c r="Z15" i="46"/>
  <c r="V15" i="46"/>
  <c r="R15" i="46"/>
  <c r="N15" i="46"/>
  <c r="J15" i="46"/>
  <c r="F15" i="46"/>
  <c r="B15" i="46"/>
  <c r="AT14" i="46"/>
  <c r="AP14" i="46"/>
  <c r="AL14" i="46"/>
  <c r="AH14" i="46"/>
  <c r="AD14" i="46"/>
  <c r="Z14" i="46"/>
  <c r="V14" i="46"/>
  <c r="R14" i="46"/>
  <c r="N14" i="46"/>
  <c r="J14" i="46"/>
  <c r="F14" i="46"/>
  <c r="B14" i="46"/>
  <c r="AT13" i="46"/>
  <c r="AP13" i="46"/>
  <c r="AL13" i="46"/>
  <c r="AH13" i="46"/>
  <c r="AD13" i="46"/>
  <c r="Z13" i="46"/>
  <c r="V13" i="46"/>
  <c r="R13" i="46"/>
  <c r="N13" i="46"/>
  <c r="J13" i="46"/>
  <c r="F13" i="46"/>
  <c r="B13" i="46"/>
  <c r="AT12" i="46"/>
  <c r="AP12" i="46"/>
  <c r="AL12" i="46"/>
  <c r="AH12" i="46"/>
  <c r="AD12" i="46"/>
  <c r="Z12" i="46"/>
  <c r="V12" i="46"/>
  <c r="R12" i="46"/>
  <c r="N12" i="46"/>
  <c r="J12" i="46"/>
  <c r="F12" i="46"/>
  <c r="B12" i="46"/>
  <c r="AT11" i="46"/>
  <c r="AP11" i="46"/>
  <c r="AL11" i="46"/>
  <c r="AH11" i="46"/>
  <c r="AD11" i="46"/>
  <c r="Z11" i="46"/>
  <c r="V11" i="46"/>
  <c r="R11" i="46"/>
  <c r="N11" i="46"/>
  <c r="J11" i="46"/>
  <c r="F11" i="46"/>
  <c r="B11" i="46"/>
  <c r="AT10" i="46"/>
  <c r="AP10" i="46"/>
  <c r="AL10" i="46"/>
  <c r="AH10" i="46"/>
  <c r="AD10" i="46"/>
  <c r="Z10" i="46"/>
  <c r="V10" i="46"/>
  <c r="R10" i="46"/>
  <c r="N10" i="46"/>
  <c r="J10" i="46"/>
  <c r="F10" i="46"/>
  <c r="B10" i="46"/>
  <c r="AT9" i="46"/>
  <c r="AP9" i="46"/>
  <c r="AL9" i="46"/>
  <c r="AH9" i="46"/>
  <c r="AD9" i="46"/>
  <c r="Z9" i="46"/>
  <c r="V9" i="46"/>
  <c r="R9" i="46"/>
  <c r="N9" i="46"/>
  <c r="J9" i="46"/>
  <c r="F9" i="46"/>
  <c r="B9" i="46"/>
  <c r="AT8" i="46"/>
  <c r="AP8" i="46"/>
  <c r="AL8" i="46"/>
  <c r="AH8" i="46"/>
  <c r="AD8" i="46"/>
  <c r="Z8" i="46"/>
  <c r="V8" i="46"/>
  <c r="R8" i="46"/>
  <c r="N8" i="46"/>
  <c r="J8" i="46"/>
  <c r="F8" i="46"/>
  <c r="B8" i="46"/>
  <c r="AH7" i="46"/>
  <c r="Z7" i="46"/>
  <c r="F7" i="46"/>
  <c r="B7" i="46"/>
  <c r="AT6" i="46"/>
  <c r="AP6" i="46"/>
  <c r="AL6" i="46"/>
  <c r="AH6" i="46"/>
  <c r="AD6" i="46"/>
  <c r="Z6" i="46"/>
  <c r="V6" i="46"/>
  <c r="R6" i="46"/>
  <c r="N6" i="46"/>
  <c r="J6" i="46"/>
  <c r="F6" i="46"/>
  <c r="B6" i="46"/>
  <c r="AT5" i="46"/>
  <c r="AP5" i="46"/>
  <c r="AL5" i="46"/>
  <c r="AH5" i="46"/>
  <c r="AD5" i="46"/>
  <c r="Z5" i="46"/>
  <c r="V5" i="46"/>
  <c r="R5" i="46"/>
  <c r="N5" i="46"/>
  <c r="J5" i="46"/>
  <c r="F5" i="46"/>
  <c r="B5" i="46"/>
  <c r="AT4" i="46"/>
  <c r="AP4" i="46"/>
  <c r="AL4" i="46"/>
  <c r="AH4" i="46"/>
  <c r="AD4" i="46"/>
  <c r="Z4" i="46"/>
  <c r="V4" i="46"/>
  <c r="R4" i="46"/>
  <c r="N4" i="46"/>
  <c r="J4" i="46"/>
  <c r="F4" i="46"/>
  <c r="B4" i="46"/>
  <c r="AT3" i="46"/>
  <c r="AP3" i="46"/>
  <c r="AL3" i="46"/>
  <c r="AH3" i="46"/>
  <c r="AD3" i="46"/>
  <c r="Z3" i="46"/>
  <c r="V3" i="46"/>
  <c r="R3" i="46"/>
  <c r="N3" i="46"/>
  <c r="J3" i="46"/>
  <c r="F3" i="46"/>
  <c r="B3" i="46"/>
  <c r="AT2" i="46"/>
  <c r="AP2" i="46"/>
  <c r="AL2" i="46"/>
  <c r="AH2" i="46"/>
  <c r="AD2" i="46"/>
  <c r="Z2" i="46"/>
  <c r="V2" i="46"/>
  <c r="N2" i="46"/>
  <c r="J2" i="46"/>
  <c r="F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T23" authorId="0" shapeId="0" xr:uid="{4FE5E2B6-5E1D-4B55-9D7B-4D04B577B2E7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ne pas prendre en compte car il vient le lundi 25-05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T28" authorId="0" shapeId="0" xr:uid="{35D626C6-1375-4070-9002-89C633949BD9}">
      <text>
        <r>
          <rPr>
            <b/>
            <sz val="9"/>
            <color indexed="81"/>
            <rFont val="Tahoma"/>
            <charset val="1"/>
          </rPr>
          <t xml:space="preserve">a prendre en compte sur juin 2026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T29" authorId="0" shapeId="0" xr:uid="{8929FE34-B5C9-4A4B-A298-F99D697B8404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a prendre en compte sur juin 2026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L26" authorId="0" shapeId="0" xr:uid="{00000000-0006-0000-0E00-000001000000}">
      <text>
        <r>
          <rPr>
            <b/>
            <sz val="9"/>
            <rFont val="Tahoma"/>
            <family val="2"/>
          </rPr>
          <t>Utilisateur:</t>
        </r>
        <r>
          <rPr>
            <sz val="9"/>
            <rFont val="Tahoma"/>
            <family val="2"/>
          </rPr>
          <t xml:space="preserve">
a prendre en compte sur avril 2026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O28" authorId="0" shapeId="0" xr:uid="{7D4AADD3-98E7-4AC2-A98B-3E6D2D10D271}">
      <text>
        <r>
          <rPr>
            <b/>
            <sz val="9"/>
            <color indexed="81"/>
            <rFont val="Tahoma"/>
            <family val="2"/>
          </rPr>
          <t xml:space="preserve">faire la regule sur mai 2026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S26" authorId="0" shapeId="0" xr:uid="{45C66C26-8B3C-4DE0-9C98-564B45797452}">
      <text>
        <r>
          <rPr>
            <b/>
            <sz val="9"/>
            <color indexed="81"/>
            <rFont val="Tahoma"/>
            <family val="2"/>
          </rPr>
          <t xml:space="preserve">A PRENDRE EN COMPTE SUR JUIN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<sst xmlns="http://schemas.openxmlformats.org/spreadsheetml/2006/main" count="11358" uniqueCount="113">
  <si>
    <t>BOUDJEMAA Lahouari</t>
  </si>
  <si>
    <t>BOUFRIDA Samir</t>
  </si>
  <si>
    <t>BOUVEYRON Michel</t>
  </si>
  <si>
    <t>CASANOVA DA SILVA Vitor Manuel</t>
  </si>
  <si>
    <t>DA SILVA CARDOSO Vitor Manuel</t>
  </si>
  <si>
    <t>EL IDRISSI Hafida</t>
  </si>
  <si>
    <t>GENAND Catherine</t>
  </si>
  <si>
    <t>GARCIA</t>
  </si>
  <si>
    <t>GOYAT Stéphane</t>
  </si>
  <si>
    <t>GROS Nadine</t>
  </si>
  <si>
    <t>OUASSIF Yaména</t>
  </si>
  <si>
    <t>POINSIGNON Thibault</t>
  </si>
  <si>
    <t>SARDA Dominique</t>
  </si>
  <si>
    <t>TROUILLOUD Florian</t>
  </si>
  <si>
    <t>VALLAT Romain</t>
  </si>
  <si>
    <t>JANVIER</t>
  </si>
  <si>
    <t>H.Abs</t>
  </si>
  <si>
    <t>CP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</si>
  <si>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</si>
  <si>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</si>
  <si>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</si>
  <si>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</si>
  <si>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</si>
  <si>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</si>
  <si>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</si>
  <si>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</si>
  <si>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</si>
  <si>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</si>
  <si>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</si>
  <si>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jeudi</t>
  </si>
  <si>
    <t xml:space="preserve">jour de l'an </t>
  </si>
  <si>
    <t>dimanche</t>
  </si>
  <si>
    <t xml:space="preserve">mercredi </t>
  </si>
  <si>
    <t xml:space="preserve">vendredi </t>
  </si>
  <si>
    <t>Fete du W</t>
  </si>
  <si>
    <t xml:space="preserve">lundi </t>
  </si>
  <si>
    <t xml:space="preserve">samedi </t>
  </si>
  <si>
    <t xml:space="preserve">mardi </t>
  </si>
  <si>
    <t xml:space="preserve">dimanche </t>
  </si>
  <si>
    <t>Toussaint</t>
  </si>
  <si>
    <t>vendredi</t>
  </si>
  <si>
    <t>lundi</t>
  </si>
  <si>
    <t>samedi</t>
  </si>
  <si>
    <t>mardi</t>
  </si>
  <si>
    <t>mercredi</t>
  </si>
  <si>
    <t xml:space="preserve"> </t>
  </si>
  <si>
    <t>lundi de Pâques</t>
  </si>
  <si>
    <t>Victoire 1945</t>
  </si>
  <si>
    <t>Armistice 1918</t>
  </si>
  <si>
    <t xml:space="preserve">Ascension </t>
  </si>
  <si>
    <t>Fête Nationale</t>
  </si>
  <si>
    <t>Assomption</t>
  </si>
  <si>
    <t>Pentecote</t>
  </si>
  <si>
    <t>Noël</t>
  </si>
  <si>
    <t>TOTAL</t>
  </si>
  <si>
    <t>Solde JTC</t>
  </si>
  <si>
    <t>.JTC</t>
  </si>
  <si>
    <t>Solde HR</t>
  </si>
  <si>
    <t>.HR</t>
  </si>
  <si>
    <t>Solde RC</t>
  </si>
  <si>
    <t>.RC</t>
  </si>
  <si>
    <t>Solde CET</t>
  </si>
  <si>
    <t>.CET</t>
  </si>
  <si>
    <t>Repos cadre</t>
  </si>
  <si>
    <t>.RE1</t>
  </si>
  <si>
    <t>repos cadre</t>
  </si>
  <si>
    <t>1 ER ARRET ANNEE CIVILE = on paye les 3 jours de carences si 1 an d'ancienneté</t>
  </si>
  <si>
    <t>Solde jour cadre 2025</t>
  </si>
  <si>
    <t>Jour cadre 2026</t>
  </si>
  <si>
    <t>Solde jour JTC 2025</t>
  </si>
  <si>
    <t>JTC 2026</t>
  </si>
  <si>
    <t>Date ancienneté</t>
  </si>
  <si>
    <t>Maladie</t>
  </si>
  <si>
    <t>AT</t>
  </si>
  <si>
    <t>JTC</t>
  </si>
  <si>
    <t>HR</t>
  </si>
  <si>
    <t xml:space="preserve">CP SS </t>
  </si>
  <si>
    <t>DELEGATION</t>
  </si>
  <si>
    <t>JOURNEE COMPENSEE AVEC HEURES SUP</t>
  </si>
  <si>
    <t>JOUR CADRE</t>
  </si>
  <si>
    <t>CHOMAGE PARTIEL</t>
  </si>
  <si>
    <t>VM a 8h40</t>
  </si>
  <si>
    <t>formation incendie</t>
  </si>
  <si>
    <t>en CP mais ne pa décompter car a travaillé le 31/12</t>
  </si>
  <si>
    <t>VM à  11h00</t>
  </si>
  <si>
    <t>jc</t>
  </si>
  <si>
    <t>JC</t>
  </si>
  <si>
    <t>JFNP</t>
  </si>
  <si>
    <t>congés paternité</t>
  </si>
  <si>
    <t>jour naissance à payer</t>
  </si>
  <si>
    <t>congés paternités</t>
  </si>
  <si>
    <t>VM A 8H45</t>
  </si>
  <si>
    <t>formation Solidworks</t>
  </si>
  <si>
    <t>deces grand mere</t>
  </si>
  <si>
    <t>ABS  PACS</t>
  </si>
  <si>
    <t xml:space="preserve">Trajet </t>
  </si>
  <si>
    <t>HEURE PAYE</t>
  </si>
  <si>
    <t xml:space="preserve">j de carence a payer </t>
  </si>
  <si>
    <t>jour AT a payer</t>
  </si>
  <si>
    <t>evf</t>
  </si>
  <si>
    <t>evf déces mère</t>
  </si>
  <si>
    <t xml:space="preserve">en recup </t>
  </si>
  <si>
    <t xml:space="preserve">en re"cup </t>
  </si>
  <si>
    <t xml:space="preserve">recup </t>
  </si>
  <si>
    <t>en recup</t>
  </si>
  <si>
    <t xml:space="preserve">fin CDI </t>
  </si>
  <si>
    <t>3 J carence à payer</t>
  </si>
  <si>
    <t>mois normal + 100 euros frais de déplacement</t>
  </si>
  <si>
    <t xml:space="preserve">sst formation </t>
  </si>
  <si>
    <t>formation SST annulée</t>
  </si>
  <si>
    <t>pente</t>
  </si>
  <si>
    <t>31 j a 100%</t>
  </si>
  <si>
    <t>1 j a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</si>
</sst>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>
    <font>
      <sz val="10"/>
      <name val="Arial"/>
      <charset val="134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indexed="36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u/>
      <sz val="10"/>
      <color indexed="17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u/>
      <sz val="10"/>
      <color indexed="53"/>
      <name val="Calibri"/>
      <family val="2"/>
      <scheme val="minor"/>
    </font>
    <font>
      <b/>
      <sz val="10"/>
      <color indexed="53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4"/>
      <name val="Calibri"/>
      <family val="2"/>
      <scheme val="minor"/>
    </font>
    <font>
      <b/>
      <u val="double"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6795556505021"/>
        <bgColor indexed="64"/>
      </patternFill>
    </fill>
    <fill>
      <patternFill patternType="solid">
        <fgColor rgb="FF46F82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990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3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6" borderId="3" xfId="0" applyFont="1" applyFill="1" applyBorder="1"/>
    <xf numFmtId="0" fontId="1" fillId="6" borderId="3" xfId="0" applyFont="1" applyFill="1" applyBorder="1" applyAlignment="1">
      <alignment horizontal="right"/>
    </xf>
    <xf numFmtId="0" fontId="1" fillId="7" borderId="3" xfId="0" applyFont="1" applyFill="1" applyBorder="1"/>
    <xf numFmtId="0" fontId="1" fillId="7" borderId="3" xfId="0" applyFont="1" applyFill="1" applyBorder="1" applyAlignment="1">
      <alignment horizontal="right"/>
    </xf>
    <xf numFmtId="0" fontId="1" fillId="8" borderId="3" xfId="0" applyFont="1" applyFill="1" applyBorder="1"/>
    <xf numFmtId="0" fontId="1" fillId="8" borderId="3" xfId="0" applyFont="1" applyFill="1" applyBorder="1" applyAlignment="1">
      <alignment horizontal="right"/>
    </xf>
    <xf numFmtId="0" fontId="1" fillId="8" borderId="0" xfId="0" applyFont="1" applyFill="1"/>
    <xf numFmtId="0" fontId="5" fillId="8" borderId="3" xfId="0" applyFont="1" applyFill="1" applyBorder="1"/>
    <xf numFmtId="0" fontId="1" fillId="0" borderId="4" xfId="0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right"/>
    </xf>
    <xf numFmtId="0" fontId="4" fillId="8" borderId="3" xfId="0" applyFont="1" applyFill="1" applyBorder="1"/>
    <xf numFmtId="0" fontId="6" fillId="8" borderId="3" xfId="0" applyFont="1" applyFill="1" applyBorder="1"/>
    <xf numFmtId="0" fontId="7" fillId="0" borderId="0" xfId="0" applyFont="1"/>
    <xf numFmtId="0" fontId="8" fillId="0" borderId="0" xfId="0" applyFont="1"/>
    <xf numFmtId="0" fontId="1" fillId="9" borderId="3" xfId="0" applyFont="1" applyFill="1" applyBorder="1"/>
    <xf numFmtId="164" fontId="9" fillId="0" borderId="0" xfId="0" applyNumberFormat="1" applyFont="1"/>
    <xf numFmtId="164" fontId="1" fillId="8" borderId="3" xfId="0" applyNumberFormat="1" applyFont="1" applyFill="1" applyBorder="1"/>
    <xf numFmtId="0" fontId="1" fillId="7" borderId="0" xfId="0" applyFont="1" applyFill="1"/>
    <xf numFmtId="164" fontId="1" fillId="7" borderId="3" xfId="0" applyNumberFormat="1" applyFont="1" applyFill="1" applyBorder="1"/>
    <xf numFmtId="0" fontId="5" fillId="7" borderId="3" xfId="0" applyFont="1" applyFill="1" applyBorder="1"/>
    <xf numFmtId="164" fontId="5" fillId="7" borderId="3" xfId="0" applyNumberFormat="1" applyFont="1" applyFill="1" applyBorder="1"/>
    <xf numFmtId="2" fontId="10" fillId="0" borderId="0" xfId="0" applyNumberFormat="1" applyFont="1"/>
    <xf numFmtId="0" fontId="11" fillId="0" borderId="0" xfId="0" applyFont="1"/>
    <xf numFmtId="0" fontId="1" fillId="8" borderId="3" xfId="0" applyFont="1" applyFill="1" applyBorder="1" applyAlignment="1">
      <alignment vertical="center"/>
    </xf>
    <xf numFmtId="0" fontId="12" fillId="0" borderId="4" xfId="0" applyFont="1" applyBorder="1" applyAlignment="1">
      <alignment horizontal="left"/>
    </xf>
    <xf numFmtId="0" fontId="13" fillId="0" borderId="0" xfId="0" applyFont="1"/>
    <xf numFmtId="0" fontId="14" fillId="8" borderId="3" xfId="0" applyFont="1" applyFill="1" applyBorder="1"/>
    <xf numFmtId="0" fontId="1" fillId="7" borderId="3" xfId="0" applyFont="1" applyFill="1" applyBorder="1" applyAlignment="1">
      <alignment vertical="center"/>
    </xf>
    <xf numFmtId="0" fontId="15" fillId="8" borderId="3" xfId="0" applyFont="1" applyFill="1" applyBorder="1"/>
    <xf numFmtId="0" fontId="14" fillId="7" borderId="3" xfId="0" applyFont="1" applyFill="1" applyBorder="1"/>
    <xf numFmtId="0" fontId="4" fillId="6" borderId="3" xfId="0" applyFont="1" applyFill="1" applyBorder="1"/>
    <xf numFmtId="0" fontId="6" fillId="7" borderId="3" xfId="0" applyFont="1" applyFill="1" applyBorder="1"/>
    <xf numFmtId="0" fontId="1" fillId="8" borderId="3" xfId="0" applyFont="1" applyFill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5" fillId="0" borderId="5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right"/>
    </xf>
    <xf numFmtId="0" fontId="6" fillId="7" borderId="7" xfId="0" applyFont="1" applyFill="1" applyBorder="1" applyAlignment="1">
      <alignment horizontal="center"/>
    </xf>
    <xf numFmtId="0" fontId="1" fillId="0" borderId="8" xfId="0" applyFont="1" applyBorder="1"/>
    <xf numFmtId="0" fontId="1" fillId="7" borderId="7" xfId="0" applyFont="1" applyFill="1" applyBorder="1"/>
    <xf numFmtId="0" fontId="1" fillId="0" borderId="9" xfId="0" applyFont="1" applyBorder="1"/>
    <xf numFmtId="0" fontId="6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1" fillId="0" borderId="10" xfId="0" applyFont="1" applyBorder="1"/>
    <xf numFmtId="0" fontId="16" fillId="0" borderId="0" xfId="0" applyFont="1" applyAlignment="1">
      <alignment horizontal="center"/>
    </xf>
    <xf numFmtId="0" fontId="16" fillId="7" borderId="0" xfId="0" applyFont="1" applyFill="1" applyAlignment="1">
      <alignment horizontal="center"/>
    </xf>
    <xf numFmtId="0" fontId="1" fillId="0" borderId="9" xfId="0" applyFont="1" applyBorder="1" applyAlignment="1">
      <alignment horizontal="left"/>
    </xf>
    <xf numFmtId="0" fontId="6" fillId="0" borderId="0" xfId="0" applyFont="1"/>
    <xf numFmtId="0" fontId="6" fillId="7" borderId="0" xfId="0" applyFont="1" applyFill="1"/>
    <xf numFmtId="0" fontId="1" fillId="0" borderId="11" xfId="0" applyFont="1" applyBorder="1"/>
    <xf numFmtId="0" fontId="1" fillId="0" borderId="12" xfId="0" applyFont="1" applyBorder="1" applyAlignment="1">
      <alignment horizontal="right"/>
    </xf>
    <xf numFmtId="0" fontId="6" fillId="7" borderId="12" xfId="0" applyFont="1" applyFill="1" applyBorder="1" applyAlignment="1">
      <alignment horizontal="center"/>
    </xf>
    <xf numFmtId="0" fontId="1" fillId="0" borderId="13" xfId="0" applyFont="1" applyBorder="1"/>
    <xf numFmtId="0" fontId="1" fillId="7" borderId="12" xfId="0" applyFont="1" applyFill="1" applyBorder="1"/>
    <xf numFmtId="0" fontId="1" fillId="8" borderId="0" xfId="0" applyFont="1" applyFill="1" applyAlignment="1">
      <alignment horizontal="right"/>
    </xf>
    <xf numFmtId="0" fontId="6" fillId="8" borderId="0" xfId="0" applyFont="1" applyFill="1" applyAlignment="1">
      <alignment horizontal="center"/>
    </xf>
    <xf numFmtId="0" fontId="1" fillId="8" borderId="10" xfId="0" applyFont="1" applyFill="1" applyBorder="1"/>
    <xf numFmtId="0" fontId="6" fillId="8" borderId="0" xfId="0" applyFont="1" applyFill="1" applyAlignment="1">
      <alignment horizontal="right"/>
    </xf>
    <xf numFmtId="0" fontId="1" fillId="0" borderId="3" xfId="0" applyFont="1" applyBorder="1"/>
    <xf numFmtId="0" fontId="17" fillId="0" borderId="1" xfId="0" applyFont="1" applyBorder="1" applyAlignment="1">
      <alignment horizontal="left"/>
    </xf>
    <xf numFmtId="0" fontId="6" fillId="0" borderId="14" xfId="0" applyFont="1" applyBorder="1"/>
    <xf numFmtId="14" fontId="6" fillId="0" borderId="14" xfId="0" applyNumberFormat="1" applyFont="1" applyBorder="1"/>
    <xf numFmtId="0" fontId="1" fillId="0" borderId="14" xfId="0" applyFont="1" applyBorder="1"/>
    <xf numFmtId="0" fontId="18" fillId="0" borderId="0" xfId="0" applyFont="1"/>
    <xf numFmtId="0" fontId="19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6" fillId="11" borderId="3" xfId="0" applyFont="1" applyFill="1" applyBorder="1" applyAlignment="1">
      <alignment horizontal="left"/>
    </xf>
    <xf numFmtId="0" fontId="5" fillId="12" borderId="3" xfId="0" applyFont="1" applyFill="1" applyBorder="1"/>
    <xf numFmtId="0" fontId="1" fillId="0" borderId="0" xfId="0" applyFont="1" applyAlignment="1">
      <alignment horizontal="left" vertical="center"/>
    </xf>
    <xf numFmtId="0" fontId="1" fillId="4" borderId="3" xfId="0" applyFont="1" applyFill="1" applyBorder="1" applyAlignment="1">
      <alignment horizontal="center"/>
    </xf>
    <xf numFmtId="0" fontId="5" fillId="3" borderId="3" xfId="0" applyFont="1" applyFill="1" applyBorder="1"/>
    <xf numFmtId="0" fontId="1" fillId="13" borderId="3" xfId="0" applyFont="1" applyFill="1" applyBorder="1"/>
    <xf numFmtId="0" fontId="6" fillId="14" borderId="3" xfId="0" applyFont="1" applyFill="1" applyBorder="1"/>
    <xf numFmtId="0" fontId="1" fillId="15" borderId="3" xfId="0" applyFont="1" applyFill="1" applyBorder="1" applyAlignment="1">
      <alignment horizontal="center"/>
    </xf>
    <xf numFmtId="0" fontId="1" fillId="16" borderId="3" xfId="0" applyFont="1" applyFill="1" applyBorder="1"/>
    <xf numFmtId="0" fontId="1" fillId="8" borderId="4" xfId="0" applyFont="1" applyFill="1" applyBorder="1" applyAlignment="1">
      <alignment vertical="center"/>
    </xf>
    <xf numFmtId="0" fontId="1" fillId="8" borderId="0" xfId="0" applyFont="1" applyFill="1" applyAlignment="1">
      <alignment vertical="center"/>
    </xf>
    <xf numFmtId="0" fontId="1" fillId="17" borderId="3" xfId="0" applyFont="1" applyFill="1" applyBorder="1"/>
    <xf numFmtId="0" fontId="1" fillId="8" borderId="0" xfId="0" applyFont="1" applyFill="1" applyAlignment="1">
      <alignment horizontal="left" vertical="center"/>
    </xf>
    <xf numFmtId="0" fontId="5" fillId="18" borderId="3" xfId="0" applyFont="1" applyFill="1" applyBorder="1"/>
    <xf numFmtId="0" fontId="1" fillId="10" borderId="3" xfId="0" applyFont="1" applyFill="1" applyBorder="1"/>
    <xf numFmtId="0" fontId="1" fillId="10" borderId="3" xfId="0" applyFont="1" applyFill="1" applyBorder="1" applyAlignment="1">
      <alignment horizontal="right"/>
    </xf>
    <xf numFmtId="1" fontId="1" fillId="4" borderId="3" xfId="0" applyNumberFormat="1" applyFont="1" applyFill="1" applyBorder="1"/>
    <xf numFmtId="0" fontId="1" fillId="11" borderId="3" xfId="0" applyFont="1" applyFill="1" applyBorder="1"/>
    <xf numFmtId="0" fontId="1" fillId="11" borderId="3" xfId="0" applyFont="1" applyFill="1" applyBorder="1" applyAlignment="1">
      <alignment horizontal="right"/>
    </xf>
    <xf numFmtId="164" fontId="1" fillId="4" borderId="3" xfId="0" applyNumberFormat="1" applyFont="1" applyFill="1" applyBorder="1"/>
    <xf numFmtId="0" fontId="1" fillId="19" borderId="3" xfId="0" applyFont="1" applyFill="1" applyBorder="1"/>
    <xf numFmtId="0" fontId="1" fillId="19" borderId="3" xfId="0" applyFont="1" applyFill="1" applyBorder="1" applyAlignment="1">
      <alignment horizontal="right"/>
    </xf>
    <xf numFmtId="0" fontId="1" fillId="11" borderId="0" xfId="0" applyFont="1" applyFill="1"/>
    <xf numFmtId="164" fontId="1" fillId="11" borderId="3" xfId="0" applyNumberFormat="1" applyFont="1" applyFill="1" applyBorder="1"/>
    <xf numFmtId="164" fontId="1" fillId="19" borderId="3" xfId="0" applyNumberFormat="1" applyFont="1" applyFill="1" applyBorder="1"/>
    <xf numFmtId="0" fontId="1" fillId="19" borderId="3" xfId="0" applyFont="1" applyFill="1" applyBorder="1" applyAlignment="1">
      <alignment vertical="center"/>
    </xf>
    <xf numFmtId="0" fontId="14" fillId="4" borderId="3" xfId="0" applyFont="1" applyFill="1" applyBorder="1"/>
    <xf numFmtId="0" fontId="14" fillId="11" borderId="3" xfId="0" applyFont="1" applyFill="1" applyBorder="1"/>
    <xf numFmtId="0" fontId="1" fillId="9" borderId="0" xfId="0" applyFont="1" applyFill="1" applyAlignment="1">
      <alignment horizontal="right"/>
    </xf>
    <xf numFmtId="0" fontId="6" fillId="9" borderId="0" xfId="0" applyFont="1" applyFill="1" applyAlignment="1">
      <alignment horizontal="center"/>
    </xf>
    <xf numFmtId="0" fontId="1" fillId="9" borderId="0" xfId="0" applyFont="1" applyFill="1"/>
    <xf numFmtId="0" fontId="1" fillId="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20" borderId="3" xfId="0" applyFont="1" applyFill="1" applyBorder="1"/>
    <xf numFmtId="0" fontId="1" fillId="20" borderId="3" xfId="0" applyFont="1" applyFill="1" applyBorder="1" applyAlignment="1">
      <alignment horizontal="right"/>
    </xf>
    <xf numFmtId="0" fontId="20" fillId="20" borderId="3" xfId="0" applyFont="1" applyFill="1" applyBorder="1"/>
    <xf numFmtId="0" fontId="1" fillId="13" borderId="3" xfId="0" applyFont="1" applyFill="1" applyBorder="1" applyAlignment="1">
      <alignment horizontal="right"/>
    </xf>
    <xf numFmtId="0" fontId="1" fillId="17" borderId="3" xfId="0" applyFont="1" applyFill="1" applyBorder="1" applyAlignment="1">
      <alignment horizontal="right"/>
    </xf>
    <xf numFmtId="164" fontId="1" fillId="17" borderId="3" xfId="0" applyNumberFormat="1" applyFont="1" applyFill="1" applyBorder="1"/>
    <xf numFmtId="0" fontId="14" fillId="17" borderId="3" xfId="0" applyFont="1" applyFill="1" applyBorder="1"/>
    <xf numFmtId="0" fontId="1" fillId="8" borderId="2" xfId="0" applyFont="1" applyFill="1" applyBorder="1"/>
    <xf numFmtId="0" fontId="1" fillId="20" borderId="0" xfId="0" applyFont="1" applyFill="1"/>
    <xf numFmtId="164" fontId="6" fillId="7" borderId="12" xfId="0" applyNumberFormat="1" applyFont="1" applyFill="1" applyBorder="1" applyAlignment="1">
      <alignment horizontal="center"/>
    </xf>
    <xf numFmtId="0" fontId="1" fillId="21" borderId="3" xfId="0" applyFont="1" applyFill="1" applyBorder="1"/>
    <xf numFmtId="0" fontId="1" fillId="21" borderId="3" xfId="0" applyFont="1" applyFill="1" applyBorder="1" applyAlignment="1">
      <alignment horizontal="right"/>
    </xf>
    <xf numFmtId="0" fontId="21" fillId="0" borderId="0" xfId="0" applyFont="1"/>
    <xf numFmtId="0" fontId="22" fillId="0" borderId="0" xfId="1" applyAlignment="1" applyProtection="1"/>
    <xf numFmtId="0" fontId="1" fillId="22" borderId="3" xfId="0" applyFont="1" applyFill="1" applyBorder="1"/>
    <xf numFmtId="0" fontId="1" fillId="22" borderId="3" xfId="0" applyFont="1" applyFill="1" applyBorder="1" applyAlignment="1">
      <alignment horizontal="right"/>
    </xf>
    <xf numFmtId="164" fontId="1" fillId="22" borderId="3" xfId="0" applyNumberFormat="1" applyFont="1" applyFill="1" applyBorder="1"/>
    <xf numFmtId="0" fontId="1" fillId="22" borderId="3" xfId="0" applyFont="1" applyFill="1" applyBorder="1" applyAlignment="1">
      <alignment vertical="center"/>
    </xf>
    <xf numFmtId="0" fontId="14" fillId="22" borderId="3" xfId="0" applyFont="1" applyFill="1" applyBorder="1"/>
    <xf numFmtId="0" fontId="1" fillId="22" borderId="0" xfId="0" applyFont="1" applyFill="1"/>
    <xf numFmtId="0" fontId="1" fillId="0" borderId="15" xfId="0" applyFont="1" applyBorder="1"/>
    <xf numFmtId="0" fontId="6" fillId="7" borderId="5" xfId="0" applyFont="1" applyFill="1" applyBorder="1" applyAlignment="1">
      <alignment horizontal="center"/>
    </xf>
    <xf numFmtId="0" fontId="1" fillId="0" borderId="16" xfId="0" applyFont="1" applyBorder="1"/>
    <xf numFmtId="0" fontId="1" fillId="8" borderId="17" xfId="0" applyFont="1" applyFill="1" applyBorder="1"/>
    <xf numFmtId="0" fontId="1" fillId="8" borderId="20" xfId="0" applyFont="1" applyFill="1" applyBorder="1" applyAlignment="1">
      <alignment horizontal="right"/>
    </xf>
    <xf numFmtId="0" fontId="6" fillId="8" borderId="20" xfId="0" applyFont="1" applyFill="1" applyBorder="1" applyAlignment="1">
      <alignment horizontal="center"/>
    </xf>
    <xf numFmtId="0" fontId="1" fillId="8" borderId="18" xfId="0" applyFont="1" applyFill="1" applyBorder="1"/>
    <xf numFmtId="2" fontId="1" fillId="0" borderId="5" xfId="0" applyNumberFormat="1" applyFont="1" applyBorder="1" applyAlignment="1">
      <alignment horizontal="right"/>
    </xf>
    <xf numFmtId="0" fontId="5" fillId="22" borderId="3" xfId="0" applyFont="1" applyFill="1" applyBorder="1"/>
    <xf numFmtId="0" fontId="6" fillId="22" borderId="3" xfId="0" applyFont="1" applyFill="1" applyBorder="1"/>
    <xf numFmtId="164" fontId="5" fillId="22" borderId="3" xfId="0" applyNumberFormat="1" applyFont="1" applyFill="1" applyBorder="1"/>
    <xf numFmtId="0" fontId="15" fillId="22" borderId="3" xfId="0" applyFont="1" applyFill="1" applyBorder="1"/>
    <xf numFmtId="0" fontId="1" fillId="22" borderId="3" xfId="0" applyFont="1" applyFill="1" applyBorder="1" applyAlignment="1">
      <alignment horizontal="center"/>
    </xf>
    <xf numFmtId="0" fontId="4" fillId="11" borderId="3" xfId="0" applyFont="1" applyFill="1" applyBorder="1"/>
    <xf numFmtId="0" fontId="1" fillId="12" borderId="3" xfId="0" applyFont="1" applyFill="1" applyBorder="1"/>
    <xf numFmtId="0" fontId="1" fillId="12" borderId="3" xfId="0" applyFont="1" applyFill="1" applyBorder="1" applyAlignment="1">
      <alignment horizontal="right"/>
    </xf>
    <xf numFmtId="0" fontId="4" fillId="12" borderId="3" xfId="0" applyFont="1" applyFill="1" applyBorder="1"/>
    <xf numFmtId="0" fontId="1" fillId="18" borderId="3" xfId="0" applyFont="1" applyFill="1" applyBorder="1"/>
    <xf numFmtId="0" fontId="1" fillId="18" borderId="3" xfId="0" applyFont="1" applyFill="1" applyBorder="1" applyAlignment="1">
      <alignment horizontal="right"/>
    </xf>
    <xf numFmtId="0" fontId="1" fillId="4" borderId="0" xfId="0" applyFont="1" applyFill="1"/>
    <xf numFmtId="0" fontId="1" fillId="8" borderId="3" xfId="0" applyFont="1" applyFill="1" applyBorder="1" applyAlignment="1">
      <alignment vertical="center" wrapText="1"/>
    </xf>
    <xf numFmtId="0" fontId="1" fillId="23" borderId="3" xfId="0" applyFont="1" applyFill="1" applyBorder="1"/>
    <xf numFmtId="0" fontId="1" fillId="23" borderId="3" xfId="0" applyFont="1" applyFill="1" applyBorder="1" applyAlignment="1">
      <alignment horizontal="right"/>
    </xf>
    <xf numFmtId="164" fontId="1" fillId="23" borderId="3" xfId="0" applyNumberFormat="1" applyFont="1" applyFill="1" applyBorder="1"/>
    <xf numFmtId="0" fontId="1" fillId="23" borderId="0" xfId="0" applyFont="1" applyFill="1"/>
    <xf numFmtId="0" fontId="1" fillId="23" borderId="3" xfId="0" applyFont="1" applyFill="1" applyBorder="1" applyAlignment="1">
      <alignment vertical="center"/>
    </xf>
    <xf numFmtId="0" fontId="14" fillId="23" borderId="3" xfId="0" applyFont="1" applyFill="1" applyBorder="1"/>
    <xf numFmtId="0" fontId="1" fillId="23" borderId="2" xfId="0" applyFont="1" applyFill="1" applyBorder="1"/>
    <xf numFmtId="0" fontId="5" fillId="10" borderId="3" xfId="0" applyFont="1" applyFill="1" applyBorder="1"/>
    <xf numFmtId="0" fontId="1" fillId="24" borderId="3" xfId="0" applyFont="1" applyFill="1" applyBorder="1"/>
    <xf numFmtId="0" fontId="1" fillId="24" borderId="3" xfId="0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4" fontId="1" fillId="7" borderId="1" xfId="0" applyNumberFormat="1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8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8" borderId="14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10" borderId="15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 wrapText="1"/>
    </xf>
    <xf numFmtId="0" fontId="1" fillId="11" borderId="16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1" fillId="11" borderId="19" xfId="0" applyFont="1" applyFill="1" applyBorder="1" applyAlignment="1">
      <alignment horizontal="center" wrapText="1"/>
    </xf>
    <xf numFmtId="0" fontId="1" fillId="11" borderId="17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 wrapText="1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4" fillId="10" borderId="15" xfId="0" applyFont="1" applyFill="1" applyBorder="1" applyAlignment="1">
      <alignment horizontal="center"/>
    </xf>
    <xf numFmtId="0" fontId="14" fillId="10" borderId="16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0" fontId="14" fillId="10" borderId="19" xfId="0" applyFont="1" applyFill="1" applyBorder="1" applyAlignment="1">
      <alignment horizontal="center"/>
    </xf>
    <xf numFmtId="0" fontId="14" fillId="10" borderId="17" xfId="0" applyFont="1" applyFill="1" applyBorder="1" applyAlignment="1">
      <alignment horizontal="center"/>
    </xf>
    <xf numFmtId="0" fontId="14" fillId="10" borderId="18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19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11" borderId="15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0" borderId="15" xfId="0" applyFont="1" applyFill="1" applyBorder="1" applyAlignment="1">
      <alignment horizontal="center" wrapText="1"/>
    </xf>
    <xf numFmtId="0" fontId="1" fillId="10" borderId="16" xfId="0" applyFont="1" applyFill="1" applyBorder="1" applyAlignment="1">
      <alignment horizontal="center" wrapText="1"/>
    </xf>
    <xf numFmtId="0" fontId="1" fillId="10" borderId="17" xfId="0" applyFont="1" applyFill="1" applyBorder="1" applyAlignment="1">
      <alignment horizontal="center" wrapText="1"/>
    </xf>
    <xf numFmtId="0" fontId="1" fillId="10" borderId="18" xfId="0" applyFont="1" applyFill="1" applyBorder="1" applyAlignment="1">
      <alignment horizontal="center" wrapText="1"/>
    </xf>
    <xf numFmtId="0" fontId="14" fillId="13" borderId="3" xfId="0" applyFont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00FF00"/>
      <color rgb="FFFF9900"/>
      <color rgb="FFFF66FF"/>
      <color rgb="FF00FFFF"/>
      <color rgb="FF9999FF"/>
      <color rgb="FFCC0099"/>
      <color rgb="FFECF668"/>
      <color rgb="FFFF3399"/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7050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595784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3150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63500</xdr:colOff>
      <xdr:row>48</xdr:row>
      <xdr:rowOff>111125</xdr:rowOff>
    </xdr:from>
    <xdr:to>
      <xdr:col>40</xdr:col>
      <xdr:colOff>3363</xdr:colOff>
      <xdr:row>61</xdr:row>
      <xdr:rowOff>14585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3875" y="8016875"/>
          <a:ext cx="6988363" cy="204658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D3C5F72-9211-4F08-9DD3-D3EA10FC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39100"/>
          <a:ext cx="6994713" cy="2081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83052C2-0EC6-403A-98E6-7CE395D29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77225"/>
          <a:ext cx="3358035" cy="22529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334833</xdr:colOff>
      <xdr:row>60</xdr:row>
      <xdr:rowOff>58400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8025" y="8048625"/>
          <a:ext cx="6992620" cy="207708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591974</xdr:colOff>
      <xdr:row>62</xdr:row>
      <xdr:rowOff>146055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34125" y="8286750"/>
          <a:ext cx="3354070" cy="2251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07F695A-45EC-412D-9906-39E167249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39100"/>
          <a:ext cx="6994713" cy="2081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4D98C84-C284-4108-B598-C26C85095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77225"/>
          <a:ext cx="3358035" cy="225298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47625</xdr:colOff>
      <xdr:row>49</xdr:row>
      <xdr:rowOff>107156</xdr:rowOff>
    </xdr:from>
    <xdr:to>
      <xdr:col>39</xdr:col>
      <xdr:colOff>374837</xdr:colOff>
      <xdr:row>62</xdr:row>
      <xdr:rowOff>66496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7125" y="8584406"/>
          <a:ext cx="7030431" cy="212627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588165</xdr:colOff>
      <xdr:row>62</xdr:row>
      <xdr:rowOff>140340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0" y="8286750"/>
          <a:ext cx="3350260" cy="224536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0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595784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0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48</xdr:row>
      <xdr:rowOff>0</xdr:rowOff>
    </xdr:from>
    <xdr:to>
      <xdr:col>39</xdr:col>
      <xdr:colOff>336738</xdr:colOff>
      <xdr:row>60</xdr:row>
      <xdr:rowOff>62210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8048625"/>
          <a:ext cx="6994525" cy="2080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20</xdr:col>
      <xdr:colOff>595785</xdr:colOff>
      <xdr:row>62</xdr:row>
      <xdr:rowOff>147960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8286750"/>
          <a:ext cx="3357880" cy="2252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15"/>
  <sheetViews>
    <sheetView workbookViewId="0">
      <selection activeCell="C22" sqref="C22"/>
    </sheetView>
  </sheetViews>
  <sheetFormatPr baseColWidth="10" defaultColWidth="11.44140625" defaultRowHeight="14.4"/>
  <cols>
    <col min="1" max="1" width="32.109375" style="122" customWidth="1"/>
    <col min="2" max="16384" width="11.44140625" style="122"/>
  </cols>
  <sheetData>
    <row r="1" spans="1:1">
      <c r="A1" s="123" t="s">
        <v>0</v>
      </c>
    </row>
    <row r="2" spans="1:1">
      <c r="A2" s="123" t="s">
        <v>1</v>
      </c>
    </row>
    <row r="3" spans="1:1">
      <c r="A3" s="123" t="s">
        <v>2</v>
      </c>
    </row>
    <row r="4" spans="1:1">
      <c r="A4" s="123" t="s">
        <v>3</v>
      </c>
    </row>
    <row r="5" spans="1:1">
      <c r="A5" s="123" t="s">
        <v>4</v>
      </c>
    </row>
    <row r="6" spans="1:1">
      <c r="A6" s="123" t="s">
        <v>5</v>
      </c>
    </row>
    <row r="7" spans="1:1">
      <c r="A7" s="123" t="s">
        <v>6</v>
      </c>
    </row>
    <row r="8" spans="1:1">
      <c r="A8" s="123" t="s">
        <v>7</v>
      </c>
    </row>
    <row r="9" spans="1:1">
      <c r="A9" s="123" t="s">
        <v>8</v>
      </c>
    </row>
    <row r="10" spans="1:1">
      <c r="A10" s="123" t="s">
        <v>9</v>
      </c>
    </row>
    <row r="11" spans="1:1">
      <c r="A11" s="123" t="s">
        <v>10</v>
      </c>
    </row>
    <row r="12" spans="1:1">
      <c r="A12" s="123" t="s">
        <v>11</v>
      </c>
    </row>
    <row r="13" spans="1:1">
      <c r="A13" s="123" t="s">
        <v>12</v>
      </c>
    </row>
    <row r="14" spans="1:1">
      <c r="A14" s="123" t="s">
        <v>13</v>
      </c>
    </row>
    <row r="15" spans="1:1">
      <c r="A15" s="123" t="s">
        <v>14</v>
      </c>
    </row>
  </sheetData>
  <hyperlinks>
    <hyperlink ref="A1" location="BOUDJEMAA!A1" display="BOUDJEMAA Lahouari" xr:uid="{00000000-0004-0000-0000-000000000000}"/>
    <hyperlink ref="A2" location="BOUFRIDA!A1" display="BOUFRIDA Samir" xr:uid="{00000000-0004-0000-0000-000001000000}"/>
    <hyperlink ref="A3" location="BOUVEYRON!A1" display="BOUVEYRON Michel" xr:uid="{00000000-0004-0000-0000-000002000000}"/>
    <hyperlink ref="A4" location="'CASANOVA '!A1" display="CASANOVA DA SILVA Vitor Manuel" xr:uid="{00000000-0004-0000-0000-000003000000}"/>
    <hyperlink ref="A5" location="'DA SILVA CARDOSO'!A1" display="DA SILVA CARDOSO Vitor Manuel" xr:uid="{00000000-0004-0000-0000-000004000000}"/>
    <hyperlink ref="A6" location="'EL IDRISSI'!A1" display="EL IDRISSI Hafida" xr:uid="{00000000-0004-0000-0000-000005000000}"/>
    <hyperlink ref="A7" location="GENAND!A1" display="GENAND Catherine" xr:uid="{00000000-0004-0000-0000-000006000000}"/>
    <hyperlink ref="A9" location="GOYAT!A1" display="GOYAT Stéphane" xr:uid="{00000000-0004-0000-0000-000007000000}"/>
    <hyperlink ref="A10" location="GROS!A1" display="GROS Nadine" xr:uid="{00000000-0004-0000-0000-000008000000}"/>
    <hyperlink ref="A11" location="OUASSIF!A1" display="OUASSIF Yaména" xr:uid="{00000000-0004-0000-0000-000009000000}"/>
    <hyperlink ref="A12" location="POINSIGNON!A1" display="POINSIGNON Thibault" xr:uid="{00000000-0004-0000-0000-00000A000000}"/>
    <hyperlink ref="A13" location="SARDA!A1" display="SARDA Dominique" xr:uid="{00000000-0004-0000-0000-00000B000000}"/>
    <hyperlink ref="A14" location="TROUILLOUD!A1" display="TROUILLOUD Florian" xr:uid="{00000000-0004-0000-0000-00000C000000}"/>
    <hyperlink ref="A15" location="VALLAT!A1" display="VALLAT Romain" xr:uid="{00000000-0004-0000-0000-00000D000000}"/>
    <hyperlink ref="A8" location="GARCIA!A1" display="GARCIA" xr:uid="{00000000-0004-0000-0000-00000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60"/>
  <sheetViews>
    <sheetView showGridLines="0" zoomScale="80" zoomScaleNormal="80" workbookViewId="0">
      <selection activeCell="AE49" sqref="AE49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2" t="s">
        <v>40</v>
      </c>
      <c r="B3" s="13">
        <f t="shared" ref="B3:B32" si="1">+B2+1</f>
        <v>2</v>
      </c>
      <c r="C3" s="12"/>
      <c r="D3" s="12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23" t="s">
        <v>40</v>
      </c>
      <c r="R16" s="13">
        <f t="shared" si="6"/>
        <v>15</v>
      </c>
      <c r="S16" s="12"/>
      <c r="T16" s="12"/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2" t="s">
        <v>40</v>
      </c>
      <c r="J21" s="13">
        <f t="shared" si="4"/>
        <v>20</v>
      </c>
      <c r="K21" s="12"/>
      <c r="L21" s="12"/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2"/>
      <c r="P22" s="117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8" t="s">
        <v>41</v>
      </c>
      <c r="R26" s="9">
        <f t="shared" si="6"/>
        <v>25</v>
      </c>
      <c r="S26" s="8" t="s">
        <v>52</v>
      </c>
      <c r="T26" s="8"/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0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53"/>
      <c r="F40" s="2"/>
      <c r="G40" s="53"/>
      <c r="K40" s="53"/>
      <c r="N40" s="2"/>
      <c r="O40" s="53"/>
      <c r="S40" s="53"/>
      <c r="W40" s="53"/>
      <c r="Z40" s="2"/>
      <c r="AA40" s="53"/>
      <c r="AD40" s="2"/>
      <c r="AE40" s="53"/>
      <c r="AH40" s="2"/>
      <c r="AI40" s="53"/>
      <c r="AL40" s="2"/>
      <c r="AM40" s="53"/>
      <c r="AP40" s="2"/>
      <c r="AQ40" s="53"/>
      <c r="AT40" s="2"/>
      <c r="AU40" s="26"/>
      <c r="AV40" s="54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75"/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1000000}"/>
  <mergeCells count="18">
    <mergeCell ref="M1:N1"/>
    <mergeCell ref="Q1:R1"/>
    <mergeCell ref="A47:C47"/>
    <mergeCell ref="E49:G49"/>
    <mergeCell ref="B60:E60"/>
    <mergeCell ref="AO1:AP1"/>
    <mergeCell ref="AS1:AT1"/>
    <mergeCell ref="A44:C44"/>
    <mergeCell ref="A45:D45"/>
    <mergeCell ref="A46:C46"/>
    <mergeCell ref="U1:V1"/>
    <mergeCell ref="Y1:Z1"/>
    <mergeCell ref="AC1:AD1"/>
    <mergeCell ref="AG1:AH1"/>
    <mergeCell ref="AK1:AL1"/>
    <mergeCell ref="A1:B1"/>
    <mergeCell ref="E1:F1"/>
    <mergeCell ref="I1:J1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60"/>
  <sheetViews>
    <sheetView showGridLines="0" zoomScale="80" zoomScaleNormal="80" workbookViewId="0">
      <selection activeCell="T17" sqref="T17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4.33203125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7" t="s">
        <v>40</v>
      </c>
      <c r="B3" s="18">
        <f t="shared" ref="B3:B32" si="1">+B2+1</f>
        <v>2</v>
      </c>
      <c r="C3" s="17"/>
      <c r="D3" s="17"/>
      <c r="E3" s="17" t="s">
        <v>41</v>
      </c>
      <c r="F3" s="18">
        <f t="shared" ref="F3:F29" si="2">+F2+1</f>
        <v>2</v>
      </c>
      <c r="G3" s="17"/>
      <c r="H3" s="17">
        <v>1</v>
      </c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91" t="s">
        <v>29</v>
      </c>
      <c r="R8" s="92">
        <f t="shared" ref="R8:R32" si="6">+R7+1</f>
        <v>7</v>
      </c>
      <c r="S8" s="177" t="s">
        <v>81</v>
      </c>
      <c r="T8" s="178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45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88" t="s">
        <v>40</v>
      </c>
      <c r="R16" s="114">
        <f t="shared" si="6"/>
        <v>15</v>
      </c>
      <c r="S16" s="179" t="s">
        <v>101</v>
      </c>
      <c r="T16" s="180"/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7" t="s">
        <v>40</v>
      </c>
      <c r="J21" s="18">
        <f t="shared" si="4"/>
        <v>20</v>
      </c>
      <c r="K21" s="17"/>
      <c r="L21" s="17">
        <v>1</v>
      </c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91" t="s">
        <v>43</v>
      </c>
      <c r="N22" s="92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8" t="s">
        <v>41</v>
      </c>
      <c r="R26" s="9">
        <f t="shared" si="6"/>
        <v>25</v>
      </c>
      <c r="S26" s="8" t="s">
        <v>52</v>
      </c>
      <c r="T26" s="8"/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1</v>
      </c>
      <c r="I33" s="12" t="s">
        <v>54</v>
      </c>
      <c r="J33" s="13"/>
      <c r="K33" s="20">
        <f>SUM(K2:K32)</f>
        <v>0</v>
      </c>
      <c r="L33" s="20">
        <f>SUM(L2:L32)</f>
        <v>1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-1.5</v>
      </c>
      <c r="D36" s="54" t="s">
        <v>58</v>
      </c>
      <c r="E36" s="51" t="s">
        <v>57</v>
      </c>
      <c r="F36" s="52"/>
      <c r="G36" s="53">
        <v>-1.5</v>
      </c>
      <c r="H36" s="54" t="s">
        <v>58</v>
      </c>
      <c r="I36" s="51" t="s">
        <v>57</v>
      </c>
      <c r="J36" s="52"/>
      <c r="K36" s="53">
        <v>-1.5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-0.5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67"/>
      <c r="AW40" s="1"/>
    </row>
    <row r="41" spans="1:49">
      <c r="A41" s="3" t="s">
        <v>66</v>
      </c>
      <c r="B41" s="3"/>
      <c r="C41" s="14"/>
      <c r="D41" s="14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43739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2000000}"/>
  <mergeCells count="21">
    <mergeCell ref="AO1:AP1"/>
    <mergeCell ref="AS1:AT1"/>
    <mergeCell ref="S8:T8"/>
    <mergeCell ref="O22:P22"/>
    <mergeCell ref="A44:C44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S16:T16"/>
    <mergeCell ref="A45:D45"/>
    <mergeCell ref="A46:C46"/>
    <mergeCell ref="A47:C47"/>
    <mergeCell ref="E49:G49"/>
    <mergeCell ref="B60:E60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60"/>
  <sheetViews>
    <sheetView showGridLines="0" zoomScale="60" zoomScaleNormal="60" workbookViewId="0">
      <selection activeCell="T17" sqref="T17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2" t="s">
        <v>40</v>
      </c>
      <c r="B3" s="13">
        <f t="shared" ref="B3:B32" si="1">+B2+1</f>
        <v>2</v>
      </c>
      <c r="C3" s="181" t="s">
        <v>83</v>
      </c>
      <c r="D3" s="182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7" t="s">
        <v>40</v>
      </c>
      <c r="N11" s="18">
        <f t="shared" si="5"/>
        <v>10</v>
      </c>
      <c r="O11" s="17"/>
      <c r="P11" s="17">
        <v>1</v>
      </c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7" t="s">
        <v>43</v>
      </c>
      <c r="B14" s="18">
        <f t="shared" si="1"/>
        <v>13</v>
      </c>
      <c r="C14" s="17"/>
      <c r="D14" s="17">
        <v>1</v>
      </c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7" t="s">
        <v>29</v>
      </c>
      <c r="B16" s="18">
        <f t="shared" si="1"/>
        <v>15</v>
      </c>
      <c r="C16" s="17"/>
      <c r="D16" s="17">
        <v>1</v>
      </c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17" t="s">
        <v>40</v>
      </c>
      <c r="R16" s="18">
        <f t="shared" si="6"/>
        <v>15</v>
      </c>
      <c r="S16" s="17"/>
      <c r="T16" s="17">
        <v>1</v>
      </c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2" t="s">
        <v>40</v>
      </c>
      <c r="J21" s="13">
        <f t="shared" si="4"/>
        <v>20</v>
      </c>
      <c r="K21" s="12"/>
      <c r="L21" s="12"/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8" t="s">
        <v>41</v>
      </c>
      <c r="R26" s="9">
        <f t="shared" si="6"/>
        <v>25</v>
      </c>
      <c r="S26" s="8" t="s">
        <v>52</v>
      </c>
      <c r="T26" s="8"/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0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1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A40" s="14"/>
      <c r="B40" s="65"/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67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35339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3000000}"/>
  <mergeCells count="20">
    <mergeCell ref="AO1:AP1"/>
    <mergeCell ref="AS1:AT1"/>
    <mergeCell ref="C3:D3"/>
    <mergeCell ref="O22:P22"/>
    <mergeCell ref="A44:C44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A45:D45"/>
    <mergeCell ref="A46:C46"/>
    <mergeCell ref="A47:C47"/>
    <mergeCell ref="E49:G49"/>
    <mergeCell ref="B60:E60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60"/>
  <sheetViews>
    <sheetView showGridLines="0" topLeftCell="A16" zoomScale="70" zoomScaleNormal="70" workbookViewId="0">
      <selection activeCell="R13" sqref="R13:S13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7" t="s">
        <v>40</v>
      </c>
      <c r="B3" s="18">
        <f t="shared" ref="B3:B32" si="1">+B2+1</f>
        <v>2</v>
      </c>
      <c r="C3" s="17"/>
      <c r="D3" s="17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91" t="s">
        <v>41</v>
      </c>
      <c r="R5" s="91">
        <f>+R4+1</f>
        <v>4</v>
      </c>
      <c r="S5" s="91" t="s">
        <v>99</v>
      </c>
      <c r="T5" s="91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159" t="s">
        <v>43</v>
      </c>
      <c r="R6" s="160">
        <f>+R5+1</f>
        <v>5</v>
      </c>
      <c r="S6" s="159">
        <v>-7.5</v>
      </c>
      <c r="T6" s="159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159" t="s">
        <v>44</v>
      </c>
      <c r="R7" s="160">
        <v>6</v>
      </c>
      <c r="S7" s="159">
        <v>-7.5</v>
      </c>
      <c r="T7" s="159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1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7" t="s">
        <v>41</v>
      </c>
      <c r="F10" s="18">
        <f t="shared" si="2"/>
        <v>9</v>
      </c>
      <c r="G10" s="103"/>
      <c r="H10" s="17">
        <v>1</v>
      </c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17" t="s">
        <v>40</v>
      </c>
      <c r="R16" s="18">
        <f t="shared" si="6"/>
        <v>15</v>
      </c>
      <c r="S16" s="17"/>
      <c r="T16" s="17">
        <v>1</v>
      </c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12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12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2" t="s">
        <v>40</v>
      </c>
      <c r="J21" s="13">
        <f t="shared" si="4"/>
        <v>20</v>
      </c>
      <c r="K21" s="12"/>
      <c r="L21" s="12"/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159" t="s">
        <v>41</v>
      </c>
      <c r="R26" s="160">
        <f t="shared" si="6"/>
        <v>25</v>
      </c>
      <c r="S26" s="159" t="s">
        <v>52</v>
      </c>
      <c r="T26" s="159">
        <v>-7</v>
      </c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 ht="12.75" customHeight="1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50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91" t="s">
        <v>44</v>
      </c>
      <c r="N30" s="92">
        <f t="shared" si="5"/>
        <v>29</v>
      </c>
      <c r="O30" s="183" t="s">
        <v>100</v>
      </c>
      <c r="P30" s="184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91" t="s">
        <v>29</v>
      </c>
      <c r="N31" s="92">
        <f t="shared" si="5"/>
        <v>30</v>
      </c>
      <c r="O31" s="185"/>
      <c r="P31" s="186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/>
      <c r="N32" s="13"/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1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-15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A40" s="14"/>
      <c r="B40" s="65"/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54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39023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158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4000000}"/>
  <mergeCells count="20">
    <mergeCell ref="AS1:AT1"/>
    <mergeCell ref="O22:P22"/>
    <mergeCell ref="A44:C44"/>
    <mergeCell ref="A45:D45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A46:C46"/>
    <mergeCell ref="A47:C47"/>
    <mergeCell ref="E49:G49"/>
    <mergeCell ref="B60:E60"/>
    <mergeCell ref="AO1:AP1"/>
    <mergeCell ref="O30:P31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60"/>
  <sheetViews>
    <sheetView showGridLines="0" topLeftCell="A19" zoomScale="80" zoomScaleNormal="80" workbookViewId="0">
      <selection activeCell="X38" sqref="X38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2" t="s">
        <v>40</v>
      </c>
      <c r="B3" s="13">
        <f t="shared" ref="B3:B32" si="1">+B2+1</f>
        <v>2</v>
      </c>
      <c r="C3" s="12"/>
      <c r="D3" s="12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88" t="s">
        <v>43</v>
      </c>
      <c r="F11" s="114">
        <f t="shared" si="2"/>
        <v>10</v>
      </c>
      <c r="G11" s="88"/>
      <c r="H11" s="88">
        <v>1</v>
      </c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88" t="s">
        <v>40</v>
      </c>
      <c r="R16" s="114">
        <f t="shared" si="6"/>
        <v>15</v>
      </c>
      <c r="S16" s="88"/>
      <c r="T16" s="88">
        <v>1</v>
      </c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88" t="s">
        <v>29</v>
      </c>
      <c r="F20" s="88">
        <f t="shared" si="2"/>
        <v>19</v>
      </c>
      <c r="G20" s="88"/>
      <c r="H20" s="88">
        <v>1</v>
      </c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88" t="s">
        <v>40</v>
      </c>
      <c r="V20" s="114">
        <f t="shared" si="7"/>
        <v>19</v>
      </c>
      <c r="W20" s="88"/>
      <c r="X20" s="88">
        <v>1</v>
      </c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88" t="s">
        <v>40</v>
      </c>
      <c r="F21" s="114">
        <f t="shared" si="2"/>
        <v>20</v>
      </c>
      <c r="G21" s="88"/>
      <c r="H21" s="115">
        <v>1</v>
      </c>
      <c r="I21" s="12" t="s">
        <v>40</v>
      </c>
      <c r="J21" s="13">
        <f t="shared" si="4"/>
        <v>20</v>
      </c>
      <c r="K21" s="12"/>
      <c r="L21" s="12"/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>
        <v>22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88" t="s">
        <v>40</v>
      </c>
      <c r="R23" s="114">
        <f t="shared" si="6"/>
        <v>22</v>
      </c>
      <c r="S23" s="88"/>
      <c r="T23" s="88">
        <v>0.5</v>
      </c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8" t="s">
        <v>41</v>
      </c>
      <c r="R26" s="9">
        <f t="shared" si="6"/>
        <v>25</v>
      </c>
      <c r="S26" s="8" t="s">
        <v>52</v>
      </c>
      <c r="T26" s="8"/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3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1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17</v>
      </c>
      <c r="D39" s="63" t="s">
        <v>64</v>
      </c>
      <c r="E39" s="60" t="s">
        <v>65</v>
      </c>
      <c r="F39" s="61"/>
      <c r="G39" s="62">
        <v>14</v>
      </c>
      <c r="H39" s="63" t="s">
        <v>64</v>
      </c>
      <c r="I39" s="60" t="s">
        <v>65</v>
      </c>
      <c r="J39" s="61"/>
      <c r="K39" s="62">
        <v>14</v>
      </c>
      <c r="L39" s="63" t="s">
        <v>64</v>
      </c>
      <c r="M39" s="60" t="s">
        <v>65</v>
      </c>
      <c r="N39" s="61"/>
      <c r="O39" s="62">
        <v>14</v>
      </c>
      <c r="P39" s="63" t="s">
        <v>64</v>
      </c>
      <c r="Q39" s="60" t="s">
        <v>65</v>
      </c>
      <c r="R39" s="61"/>
      <c r="S39" s="62">
        <v>13</v>
      </c>
      <c r="T39" s="63" t="s">
        <v>64</v>
      </c>
      <c r="U39" s="60" t="s">
        <v>65</v>
      </c>
      <c r="V39" s="61"/>
      <c r="W39" s="62">
        <v>12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53"/>
      <c r="F40" s="2"/>
      <c r="G40" s="53"/>
      <c r="K40" s="53"/>
      <c r="N40" s="2"/>
      <c r="O40" s="53"/>
      <c r="S40" s="53"/>
      <c r="W40" s="53"/>
      <c r="Z40" s="2"/>
      <c r="AA40" s="53"/>
      <c r="AD40" s="2"/>
      <c r="AE40" s="53"/>
      <c r="AH40" s="2"/>
      <c r="AI40" s="53"/>
      <c r="AL40" s="2"/>
      <c r="AM40" s="53"/>
      <c r="AP40" s="2"/>
      <c r="AQ40" s="53"/>
      <c r="AT40" s="2"/>
      <c r="AU40" s="26"/>
      <c r="AV40" s="54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>
        <v>6</v>
      </c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>
        <v>11</v>
      </c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44977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5000000}"/>
  <mergeCells count="19">
    <mergeCell ref="AS1:AT1"/>
    <mergeCell ref="O22:P22"/>
    <mergeCell ref="A44:C44"/>
    <mergeCell ref="A45:D45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A46:C46"/>
    <mergeCell ref="A47:C47"/>
    <mergeCell ref="E49:G49"/>
    <mergeCell ref="B60:E60"/>
    <mergeCell ref="AO1:AP1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FB4E-5956-42DB-AC11-162B6FBC8D21}">
  <dimension ref="A1:AX60"/>
  <sheetViews>
    <sheetView showGridLines="0" tabSelected="1" topLeftCell="A13" zoomScale="80" zoomScaleNormal="80" workbookViewId="0">
      <selection activeCell="Q27" sqref="Q27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0.554687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124" t="s">
        <v>29</v>
      </c>
      <c r="B2" s="125">
        <v>1</v>
      </c>
      <c r="C2" s="124" t="s">
        <v>30</v>
      </c>
      <c r="D2" s="124"/>
      <c r="E2" s="124" t="s">
        <v>31</v>
      </c>
      <c r="F2" s="125">
        <f>+F1+1</f>
        <v>1</v>
      </c>
      <c r="G2" s="124"/>
      <c r="H2" s="124"/>
      <c r="I2" s="124" t="s">
        <v>31</v>
      </c>
      <c r="J2" s="125">
        <f>+J1+1</f>
        <v>1</v>
      </c>
      <c r="K2" s="124"/>
      <c r="L2" s="124"/>
      <c r="M2" s="124" t="s">
        <v>32</v>
      </c>
      <c r="N2" s="125">
        <f>+N1+1</f>
        <v>1</v>
      </c>
      <c r="O2" s="124"/>
      <c r="P2" s="124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24" t="s">
        <v>36</v>
      </c>
      <c r="AD2" s="124">
        <f>+AD1+1</f>
        <v>1</v>
      </c>
      <c r="AE2" s="124"/>
      <c r="AF2" s="124"/>
      <c r="AG2" s="124" t="s">
        <v>37</v>
      </c>
      <c r="AH2" s="124">
        <f t="shared" ref="AH2:AH31" si="0">+AH1+1</f>
        <v>1</v>
      </c>
      <c r="AI2" s="138"/>
      <c r="AJ2" s="138"/>
      <c r="AK2" s="124" t="s">
        <v>29</v>
      </c>
      <c r="AL2" s="124">
        <f>+AL1+1</f>
        <v>1</v>
      </c>
      <c r="AM2" s="124"/>
      <c r="AN2" s="124"/>
      <c r="AO2" s="124" t="s">
        <v>38</v>
      </c>
      <c r="AP2" s="125">
        <f>+AP1+1</f>
        <v>1</v>
      </c>
      <c r="AQ2" s="124" t="s">
        <v>39</v>
      </c>
      <c r="AR2" s="124"/>
      <c r="AS2" s="124" t="s">
        <v>37</v>
      </c>
      <c r="AT2" s="124">
        <f>+AT1+1</f>
        <v>1</v>
      </c>
      <c r="AU2" s="124"/>
      <c r="AV2" s="124"/>
      <c r="AW2" s="16"/>
    </row>
    <row r="3" spans="1:50">
      <c r="A3" s="124" t="s">
        <v>40</v>
      </c>
      <c r="B3" s="125">
        <f t="shared" ref="B3:B32" si="1">+B2+1</f>
        <v>2</v>
      </c>
      <c r="C3" s="124"/>
      <c r="D3" s="124"/>
      <c r="E3" s="124" t="s">
        <v>41</v>
      </c>
      <c r="F3" s="125">
        <f t="shared" ref="F3:F29" si="2">+F2+1</f>
        <v>2</v>
      </c>
      <c r="G3" s="124"/>
      <c r="H3" s="124"/>
      <c r="I3" s="124" t="s">
        <v>41</v>
      </c>
      <c r="J3" s="125">
        <f>+J2+1</f>
        <v>2</v>
      </c>
      <c r="K3" s="124"/>
      <c r="L3" s="124"/>
      <c r="M3" s="124" t="s">
        <v>29</v>
      </c>
      <c r="N3" s="125">
        <f>+N2+1</f>
        <v>2</v>
      </c>
      <c r="O3" s="124"/>
      <c r="P3" s="124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82"/>
      <c r="X3" s="82">
        <v>-7</v>
      </c>
      <c r="Y3" s="12" t="s">
        <v>29</v>
      </c>
      <c r="Z3" s="12">
        <f t="shared" ref="Z3:Z32" si="3">+Z2+1</f>
        <v>2</v>
      </c>
      <c r="AA3" s="19"/>
      <c r="AB3" s="19"/>
      <c r="AC3" s="124" t="s">
        <v>31</v>
      </c>
      <c r="AD3" s="124">
        <f>+AD2+1</f>
        <v>2</v>
      </c>
      <c r="AE3" s="124"/>
      <c r="AF3" s="124"/>
      <c r="AG3" s="124" t="s">
        <v>44</v>
      </c>
      <c r="AH3" s="124">
        <f t="shared" si="0"/>
        <v>2</v>
      </c>
      <c r="AI3" s="138"/>
      <c r="AJ3" s="138"/>
      <c r="AK3" s="124" t="s">
        <v>40</v>
      </c>
      <c r="AL3" s="124">
        <f>+AL2+1</f>
        <v>2</v>
      </c>
      <c r="AM3" s="124"/>
      <c r="AN3" s="124"/>
      <c r="AO3" s="124" t="s">
        <v>41</v>
      </c>
      <c r="AP3" s="125">
        <f>+AP2+1</f>
        <v>2</v>
      </c>
      <c r="AQ3" s="124"/>
      <c r="AR3" s="124"/>
      <c r="AS3" s="124" t="s">
        <v>44</v>
      </c>
      <c r="AT3" s="124">
        <f>+AT2+1</f>
        <v>2</v>
      </c>
      <c r="AU3" s="139"/>
      <c r="AV3" s="124"/>
      <c r="AW3" s="16"/>
      <c r="AX3" s="21"/>
    </row>
    <row r="4" spans="1:50">
      <c r="A4" s="124" t="s">
        <v>42</v>
      </c>
      <c r="B4" s="125">
        <f t="shared" si="1"/>
        <v>3</v>
      </c>
      <c r="C4" s="124"/>
      <c r="D4" s="124"/>
      <c r="E4" s="124" t="s">
        <v>43</v>
      </c>
      <c r="F4" s="125">
        <f t="shared" si="2"/>
        <v>3</v>
      </c>
      <c r="G4" s="124"/>
      <c r="H4" s="124"/>
      <c r="I4" s="124" t="s">
        <v>43</v>
      </c>
      <c r="J4" s="125">
        <f>+J3+1</f>
        <v>3</v>
      </c>
      <c r="K4" s="124"/>
      <c r="L4" s="124"/>
      <c r="M4" s="124" t="s">
        <v>40</v>
      </c>
      <c r="N4" s="125">
        <f>+N3+1</f>
        <v>3</v>
      </c>
      <c r="O4" s="124"/>
      <c r="P4" s="124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13"/>
      <c r="X4" s="113">
        <v>-7</v>
      </c>
      <c r="Y4" s="12" t="s">
        <v>40</v>
      </c>
      <c r="Z4" s="12">
        <f t="shared" si="3"/>
        <v>3</v>
      </c>
      <c r="AA4" s="12"/>
      <c r="AB4" s="12"/>
      <c r="AC4" s="124" t="s">
        <v>41</v>
      </c>
      <c r="AD4" s="124">
        <f>+AD3+1</f>
        <v>3</v>
      </c>
      <c r="AE4" s="124"/>
      <c r="AF4" s="124"/>
      <c r="AG4" s="124" t="s">
        <v>29</v>
      </c>
      <c r="AH4" s="124">
        <f t="shared" si="0"/>
        <v>3</v>
      </c>
      <c r="AI4" s="138"/>
      <c r="AJ4" s="138"/>
      <c r="AK4" s="124" t="s">
        <v>42</v>
      </c>
      <c r="AL4" s="124">
        <f>+AL3+1</f>
        <v>3</v>
      </c>
      <c r="AM4" s="124"/>
      <c r="AN4" s="124"/>
      <c r="AO4" s="124" t="s">
        <v>43</v>
      </c>
      <c r="AP4" s="125">
        <f>+AP3+1</f>
        <v>3</v>
      </c>
      <c r="AQ4" s="124"/>
      <c r="AR4" s="124"/>
      <c r="AS4" s="124" t="s">
        <v>29</v>
      </c>
      <c r="AT4" s="124">
        <f>+AT3+1</f>
        <v>3</v>
      </c>
      <c r="AU4" s="124"/>
      <c r="AV4" s="124"/>
      <c r="AW4" s="16"/>
      <c r="AX4" s="22"/>
    </row>
    <row r="5" spans="1:50">
      <c r="A5" s="124" t="s">
        <v>31</v>
      </c>
      <c r="B5" s="125">
        <f t="shared" si="1"/>
        <v>4</v>
      </c>
      <c r="C5" s="124"/>
      <c r="D5" s="124"/>
      <c r="E5" s="124" t="s">
        <v>44</v>
      </c>
      <c r="F5" s="124">
        <f t="shared" si="2"/>
        <v>4</v>
      </c>
      <c r="G5" s="124"/>
      <c r="H5" s="124"/>
      <c r="I5" s="124" t="s">
        <v>44</v>
      </c>
      <c r="J5" s="125">
        <f>+J4+1</f>
        <v>4</v>
      </c>
      <c r="K5" s="124"/>
      <c r="L5" s="124"/>
      <c r="M5" s="124" t="s">
        <v>42</v>
      </c>
      <c r="N5" s="125">
        <f>+N4+1</f>
        <v>4</v>
      </c>
      <c r="O5" s="124"/>
      <c r="P5" s="124"/>
      <c r="Q5" s="23" t="s">
        <v>41</v>
      </c>
      <c r="R5" s="12">
        <f>+R4+1</f>
        <v>4</v>
      </c>
      <c r="S5" s="12"/>
      <c r="T5" s="12">
        <v>1</v>
      </c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4" t="s">
        <v>43</v>
      </c>
      <c r="AD5" s="124">
        <f>+AD4+1</f>
        <v>4</v>
      </c>
      <c r="AE5" s="124"/>
      <c r="AF5" s="124"/>
      <c r="AG5" s="124" t="s">
        <v>40</v>
      </c>
      <c r="AH5" s="124">
        <f t="shared" si="0"/>
        <v>4</v>
      </c>
      <c r="AI5" s="138"/>
      <c r="AJ5" s="138">
        <v>1</v>
      </c>
      <c r="AK5" s="124" t="s">
        <v>31</v>
      </c>
      <c r="AL5" s="124">
        <f>+AL4+1</f>
        <v>4</v>
      </c>
      <c r="AM5" s="124"/>
      <c r="AN5" s="124"/>
      <c r="AO5" s="124" t="s">
        <v>44</v>
      </c>
      <c r="AP5" s="125">
        <f>+AP4+1</f>
        <v>4</v>
      </c>
      <c r="AQ5" s="124"/>
      <c r="AR5" s="124"/>
      <c r="AS5" s="124" t="s">
        <v>40</v>
      </c>
      <c r="AT5" s="124">
        <f>+AT4+1</f>
        <v>4</v>
      </c>
      <c r="AU5" s="124"/>
      <c r="AV5" s="124"/>
      <c r="AW5" s="16"/>
      <c r="AX5" s="24"/>
    </row>
    <row r="6" spans="1:50">
      <c r="A6" s="124" t="s">
        <v>41</v>
      </c>
      <c r="B6" s="125">
        <f t="shared" si="1"/>
        <v>5</v>
      </c>
      <c r="C6" s="124"/>
      <c r="D6" s="124"/>
      <c r="E6" s="124" t="s">
        <v>29</v>
      </c>
      <c r="F6" s="124">
        <f t="shared" si="2"/>
        <v>5</v>
      </c>
      <c r="G6" s="124"/>
      <c r="H6" s="124"/>
      <c r="I6" s="124" t="s">
        <v>29</v>
      </c>
      <c r="J6" s="125">
        <f>+J5+1</f>
        <v>5</v>
      </c>
      <c r="K6" s="124"/>
      <c r="L6" s="126"/>
      <c r="M6" s="124" t="s">
        <v>31</v>
      </c>
      <c r="N6" s="125">
        <f>+N5+1</f>
        <v>5</v>
      </c>
      <c r="O6" s="129"/>
      <c r="P6" s="126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4" t="s">
        <v>44</v>
      </c>
      <c r="AD6" s="124">
        <f>+AD5+1</f>
        <v>5</v>
      </c>
      <c r="AE6" s="124"/>
      <c r="AF6" s="124"/>
      <c r="AG6" s="124" t="s">
        <v>42</v>
      </c>
      <c r="AH6" s="124">
        <f t="shared" si="0"/>
        <v>5</v>
      </c>
      <c r="AI6" s="138"/>
      <c r="AJ6" s="140"/>
      <c r="AK6" s="124" t="s">
        <v>41</v>
      </c>
      <c r="AL6" s="124">
        <f>+AL5+1</f>
        <v>5</v>
      </c>
      <c r="AM6" s="124"/>
      <c r="AN6" s="126"/>
      <c r="AO6" s="124" t="s">
        <v>29</v>
      </c>
      <c r="AP6" s="125">
        <f>+AP5+1</f>
        <v>5</v>
      </c>
      <c r="AQ6" s="124"/>
      <c r="AR6" s="126"/>
      <c r="AS6" s="124" t="s">
        <v>42</v>
      </c>
      <c r="AT6" s="124">
        <f>+AT5+1</f>
        <v>5</v>
      </c>
      <c r="AU6" s="124"/>
      <c r="AV6" s="126"/>
      <c r="AW6" s="16"/>
      <c r="AX6" s="30"/>
    </row>
    <row r="7" spans="1:50">
      <c r="A7" s="124" t="s">
        <v>43</v>
      </c>
      <c r="B7" s="125">
        <f t="shared" si="1"/>
        <v>6</v>
      </c>
      <c r="C7" s="124"/>
      <c r="D7" s="126"/>
      <c r="E7" s="124" t="s">
        <v>40</v>
      </c>
      <c r="F7" s="125">
        <f t="shared" si="2"/>
        <v>6</v>
      </c>
      <c r="G7" s="124"/>
      <c r="H7" s="126"/>
      <c r="I7" s="124" t="s">
        <v>40</v>
      </c>
      <c r="J7" s="125">
        <v>6</v>
      </c>
      <c r="K7" s="124"/>
      <c r="L7" s="124"/>
      <c r="M7" s="124" t="s">
        <v>41</v>
      </c>
      <c r="N7" s="125">
        <v>6</v>
      </c>
      <c r="O7" s="124" t="s">
        <v>46</v>
      </c>
      <c r="P7" s="124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4" t="s">
        <v>29</v>
      </c>
      <c r="AD7" s="124">
        <v>6</v>
      </c>
      <c r="AE7" s="124"/>
      <c r="AF7" s="124"/>
      <c r="AG7" s="124" t="s">
        <v>31</v>
      </c>
      <c r="AH7" s="124">
        <f t="shared" si="0"/>
        <v>6</v>
      </c>
      <c r="AI7" s="138"/>
      <c r="AJ7" s="138"/>
      <c r="AK7" s="124" t="s">
        <v>43</v>
      </c>
      <c r="AL7" s="124">
        <v>6</v>
      </c>
      <c r="AM7" s="124"/>
      <c r="AN7" s="124"/>
      <c r="AO7" s="124" t="s">
        <v>40</v>
      </c>
      <c r="AP7" s="125">
        <v>6</v>
      </c>
      <c r="AQ7" s="124"/>
      <c r="AR7" s="124"/>
      <c r="AS7" s="124" t="s">
        <v>31</v>
      </c>
      <c r="AT7" s="124">
        <v>6</v>
      </c>
      <c r="AU7" s="124"/>
      <c r="AV7" s="124"/>
      <c r="AW7" s="16"/>
    </row>
    <row r="8" spans="1:50">
      <c r="A8" s="124" t="s">
        <v>44</v>
      </c>
      <c r="B8" s="125">
        <f t="shared" si="1"/>
        <v>7</v>
      </c>
      <c r="C8" s="124"/>
      <c r="D8" s="124"/>
      <c r="E8" s="124" t="s">
        <v>42</v>
      </c>
      <c r="F8" s="125">
        <f t="shared" si="2"/>
        <v>7</v>
      </c>
      <c r="G8" s="124"/>
      <c r="H8" s="124"/>
      <c r="I8" s="124" t="s">
        <v>42</v>
      </c>
      <c r="J8" s="125">
        <f t="shared" ref="J8:J32" si="4">+J7+1</f>
        <v>7</v>
      </c>
      <c r="K8" s="124"/>
      <c r="L8" s="124"/>
      <c r="M8" s="124" t="s">
        <v>43</v>
      </c>
      <c r="N8" s="125">
        <f t="shared" ref="N8:N32" si="5">+N7+1</f>
        <v>7</v>
      </c>
      <c r="O8" s="124"/>
      <c r="P8" s="124"/>
      <c r="Q8" s="23" t="s">
        <v>29</v>
      </c>
      <c r="R8" s="13">
        <f t="shared" ref="R8:R32" si="6">+R7+1</f>
        <v>7</v>
      </c>
      <c r="S8" s="12"/>
      <c r="T8" s="12">
        <v>1</v>
      </c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4" t="s">
        <v>40</v>
      </c>
      <c r="AD8" s="124">
        <f t="shared" ref="AD8:AD32" si="8">+AD7+1</f>
        <v>7</v>
      </c>
      <c r="AE8" s="124"/>
      <c r="AF8" s="124"/>
      <c r="AG8" s="124" t="s">
        <v>41</v>
      </c>
      <c r="AH8" s="124">
        <f t="shared" si="0"/>
        <v>7</v>
      </c>
      <c r="AI8" s="138"/>
      <c r="AJ8" s="138"/>
      <c r="AK8" s="124" t="s">
        <v>44</v>
      </c>
      <c r="AL8" s="124">
        <f t="shared" ref="AL8:AL32" si="9">+AL7+1</f>
        <v>7</v>
      </c>
      <c r="AM8" s="124"/>
      <c r="AN8" s="124"/>
      <c r="AO8" s="124" t="s">
        <v>42</v>
      </c>
      <c r="AP8" s="125">
        <f t="shared" ref="AP8:AP31" si="10">+AP7+1</f>
        <v>7</v>
      </c>
      <c r="AQ8" s="124"/>
      <c r="AR8" s="124"/>
      <c r="AS8" s="124" t="s">
        <v>41</v>
      </c>
      <c r="AT8" s="124">
        <f t="shared" ref="AT8:AT32" si="11">+AT7+1</f>
        <v>7</v>
      </c>
      <c r="AU8" s="124"/>
      <c r="AV8" s="124"/>
      <c r="AW8" s="16"/>
      <c r="AX8" s="31"/>
    </row>
    <row r="9" spans="1:50">
      <c r="A9" s="124" t="s">
        <v>29</v>
      </c>
      <c r="B9" s="125">
        <f t="shared" si="1"/>
        <v>8</v>
      </c>
      <c r="C9" s="127"/>
      <c r="D9" s="127"/>
      <c r="E9" s="124" t="s">
        <v>31</v>
      </c>
      <c r="F9" s="125">
        <f t="shared" si="2"/>
        <v>8</v>
      </c>
      <c r="G9" s="124"/>
      <c r="H9" s="124"/>
      <c r="I9" s="124" t="s">
        <v>31</v>
      </c>
      <c r="J9" s="125">
        <f t="shared" si="4"/>
        <v>8</v>
      </c>
      <c r="K9" s="124"/>
      <c r="L9" s="124"/>
      <c r="M9" s="124" t="s">
        <v>44</v>
      </c>
      <c r="N9" s="125">
        <f t="shared" si="5"/>
        <v>8</v>
      </c>
      <c r="O9" s="124"/>
      <c r="P9" s="124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7"/>
      <c r="X9" s="17">
        <v>1</v>
      </c>
      <c r="Y9" s="12" t="s">
        <v>44</v>
      </c>
      <c r="Z9" s="12">
        <f t="shared" si="3"/>
        <v>8</v>
      </c>
      <c r="AA9" s="12"/>
      <c r="AB9" s="12"/>
      <c r="AC9" s="124" t="s">
        <v>42</v>
      </c>
      <c r="AD9" s="124">
        <f t="shared" si="8"/>
        <v>8</v>
      </c>
      <c r="AE9" s="124"/>
      <c r="AF9" s="124"/>
      <c r="AG9" s="124" t="s">
        <v>43</v>
      </c>
      <c r="AH9" s="124">
        <f t="shared" si="0"/>
        <v>8</v>
      </c>
      <c r="AI9" s="138"/>
      <c r="AJ9" s="138"/>
      <c r="AK9" s="124" t="s">
        <v>29</v>
      </c>
      <c r="AL9" s="124">
        <f t="shared" si="9"/>
        <v>8</v>
      </c>
      <c r="AM9" s="124"/>
      <c r="AN9" s="124"/>
      <c r="AO9" s="124" t="s">
        <v>31</v>
      </c>
      <c r="AP9" s="125">
        <f t="shared" si="10"/>
        <v>8</v>
      </c>
      <c r="AQ9" s="124"/>
      <c r="AR9" s="124"/>
      <c r="AS9" s="124" t="s">
        <v>43</v>
      </c>
      <c r="AT9" s="124">
        <f t="shared" si="11"/>
        <v>8</v>
      </c>
      <c r="AU9" s="124"/>
      <c r="AV9" s="124"/>
      <c r="AW9" s="33"/>
      <c r="AX9" s="34"/>
    </row>
    <row r="10" spans="1:50">
      <c r="A10" s="124" t="s">
        <v>40</v>
      </c>
      <c r="B10" s="125">
        <f t="shared" si="1"/>
        <v>9</v>
      </c>
      <c r="C10" s="127"/>
      <c r="D10" s="127"/>
      <c r="E10" s="124" t="s">
        <v>41</v>
      </c>
      <c r="F10" s="125">
        <f t="shared" si="2"/>
        <v>9</v>
      </c>
      <c r="G10" s="128"/>
      <c r="H10" s="124"/>
      <c r="I10" s="124" t="s">
        <v>41</v>
      </c>
      <c r="J10" s="125">
        <f t="shared" si="4"/>
        <v>9</v>
      </c>
      <c r="K10" s="124"/>
      <c r="L10" s="124"/>
      <c r="M10" s="124" t="s">
        <v>29</v>
      </c>
      <c r="N10" s="125">
        <f t="shared" si="5"/>
        <v>9</v>
      </c>
      <c r="O10" s="124"/>
      <c r="P10" s="124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7"/>
      <c r="X10" s="17">
        <v>1</v>
      </c>
      <c r="Y10" s="12" t="s">
        <v>29</v>
      </c>
      <c r="Z10" s="12">
        <f t="shared" si="3"/>
        <v>9</v>
      </c>
      <c r="AA10" s="12"/>
      <c r="AB10" s="12"/>
      <c r="AC10" s="124" t="s">
        <v>31</v>
      </c>
      <c r="AD10" s="124">
        <f t="shared" si="8"/>
        <v>9</v>
      </c>
      <c r="AE10" s="124"/>
      <c r="AF10" s="124"/>
      <c r="AG10" s="124" t="s">
        <v>44</v>
      </c>
      <c r="AH10" s="124">
        <f t="shared" si="0"/>
        <v>9</v>
      </c>
      <c r="AI10" s="138"/>
      <c r="AJ10" s="138"/>
      <c r="AK10" s="124" t="s">
        <v>40</v>
      </c>
      <c r="AL10" s="124">
        <f t="shared" si="9"/>
        <v>9</v>
      </c>
      <c r="AM10" s="124"/>
      <c r="AN10" s="124"/>
      <c r="AO10" s="124" t="s">
        <v>41</v>
      </c>
      <c r="AP10" s="125">
        <f t="shared" si="10"/>
        <v>9</v>
      </c>
      <c r="AQ10" s="124"/>
      <c r="AR10" s="124"/>
      <c r="AS10" s="124" t="s">
        <v>44</v>
      </c>
      <c r="AT10" s="124">
        <f t="shared" si="11"/>
        <v>9</v>
      </c>
      <c r="AU10" s="124"/>
      <c r="AV10" s="124"/>
      <c r="AW10" s="16"/>
    </row>
    <row r="11" spans="1:50">
      <c r="A11" s="124" t="s">
        <v>42</v>
      </c>
      <c r="B11" s="125">
        <f t="shared" si="1"/>
        <v>10</v>
      </c>
      <c r="C11" s="127"/>
      <c r="D11" s="127"/>
      <c r="E11" s="124" t="s">
        <v>43</v>
      </c>
      <c r="F11" s="125">
        <f t="shared" si="2"/>
        <v>10</v>
      </c>
      <c r="G11" s="124"/>
      <c r="H11" s="124"/>
      <c r="I11" s="124" t="s">
        <v>43</v>
      </c>
      <c r="J11" s="125">
        <f t="shared" si="4"/>
        <v>10</v>
      </c>
      <c r="K11" s="128"/>
      <c r="L11" s="124"/>
      <c r="M11" s="124" t="s">
        <v>40</v>
      </c>
      <c r="N11" s="125">
        <f t="shared" si="5"/>
        <v>10</v>
      </c>
      <c r="O11" s="124"/>
      <c r="P11" s="124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7"/>
      <c r="X11" s="17">
        <v>1</v>
      </c>
      <c r="Y11" s="12" t="s">
        <v>40</v>
      </c>
      <c r="Z11" s="12">
        <f t="shared" si="3"/>
        <v>10</v>
      </c>
      <c r="AA11" s="35"/>
      <c r="AB11" s="12"/>
      <c r="AC11" s="124" t="s">
        <v>41</v>
      </c>
      <c r="AD11" s="124">
        <f t="shared" si="8"/>
        <v>10</v>
      </c>
      <c r="AE11" s="124"/>
      <c r="AF11" s="124"/>
      <c r="AG11" s="124" t="s">
        <v>29</v>
      </c>
      <c r="AH11" s="124">
        <f t="shared" si="0"/>
        <v>10</v>
      </c>
      <c r="AI11" s="141"/>
      <c r="AJ11" s="138"/>
      <c r="AK11" s="124" t="s">
        <v>42</v>
      </c>
      <c r="AL11" s="124">
        <f t="shared" si="9"/>
        <v>10</v>
      </c>
      <c r="AM11" s="128"/>
      <c r="AN11" s="124"/>
      <c r="AO11" s="124" t="s">
        <v>43</v>
      </c>
      <c r="AP11" s="124">
        <f t="shared" si="10"/>
        <v>10</v>
      </c>
      <c r="AQ11" s="124"/>
      <c r="AR11" s="124"/>
      <c r="AS11" s="124" t="s">
        <v>29</v>
      </c>
      <c r="AT11" s="124">
        <f t="shared" si="11"/>
        <v>10</v>
      </c>
      <c r="AU11" s="124"/>
      <c r="AV11" s="124"/>
      <c r="AW11" s="16"/>
    </row>
    <row r="12" spans="1:50">
      <c r="A12" s="124" t="s">
        <v>31</v>
      </c>
      <c r="B12" s="125">
        <f t="shared" si="1"/>
        <v>11</v>
      </c>
      <c r="C12" s="127"/>
      <c r="D12" s="127"/>
      <c r="E12" s="124" t="s">
        <v>44</v>
      </c>
      <c r="F12" s="124">
        <f t="shared" si="2"/>
        <v>11</v>
      </c>
      <c r="G12" s="124"/>
      <c r="H12" s="124"/>
      <c r="I12" s="124" t="s">
        <v>44</v>
      </c>
      <c r="J12" s="125">
        <f t="shared" si="4"/>
        <v>11</v>
      </c>
      <c r="K12" s="124"/>
      <c r="L12" s="124"/>
      <c r="M12" s="124" t="s">
        <v>42</v>
      </c>
      <c r="N12" s="125">
        <f t="shared" si="5"/>
        <v>11</v>
      </c>
      <c r="O12" s="124"/>
      <c r="P12" s="124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7"/>
      <c r="X12" s="17">
        <v>1</v>
      </c>
      <c r="Y12" s="10" t="s">
        <v>42</v>
      </c>
      <c r="Z12" s="10">
        <f t="shared" si="3"/>
        <v>11</v>
      </c>
      <c r="AA12" s="10"/>
      <c r="AB12" s="10"/>
      <c r="AC12" s="124" t="s">
        <v>43</v>
      </c>
      <c r="AD12" s="124">
        <f t="shared" si="8"/>
        <v>11</v>
      </c>
      <c r="AE12" s="124"/>
      <c r="AF12" s="124"/>
      <c r="AG12" s="124" t="s">
        <v>40</v>
      </c>
      <c r="AH12" s="124">
        <f t="shared" si="0"/>
        <v>11</v>
      </c>
      <c r="AI12" s="124"/>
      <c r="AJ12" s="124"/>
      <c r="AK12" s="124" t="s">
        <v>31</v>
      </c>
      <c r="AL12" s="124">
        <f t="shared" si="9"/>
        <v>11</v>
      </c>
      <c r="AM12" s="124"/>
      <c r="AN12" s="124"/>
      <c r="AO12" s="124" t="s">
        <v>44</v>
      </c>
      <c r="AP12" s="125">
        <f t="shared" si="10"/>
        <v>11</v>
      </c>
      <c r="AQ12" s="124" t="s">
        <v>48</v>
      </c>
      <c r="AR12" s="124"/>
      <c r="AS12" s="124" t="s">
        <v>40</v>
      </c>
      <c r="AT12" s="124">
        <f t="shared" si="11"/>
        <v>11</v>
      </c>
      <c r="AU12" s="124"/>
      <c r="AV12" s="124"/>
    </row>
    <row r="13" spans="1:50">
      <c r="A13" s="124" t="s">
        <v>41</v>
      </c>
      <c r="B13" s="125">
        <f t="shared" si="1"/>
        <v>12</v>
      </c>
      <c r="C13" s="127"/>
      <c r="D13" s="127"/>
      <c r="E13" s="124" t="s">
        <v>29</v>
      </c>
      <c r="F13" s="124">
        <f t="shared" si="2"/>
        <v>12</v>
      </c>
      <c r="G13" s="124"/>
      <c r="H13" s="124"/>
      <c r="I13" s="124" t="s">
        <v>29</v>
      </c>
      <c r="J13" s="125">
        <f t="shared" si="4"/>
        <v>12</v>
      </c>
      <c r="K13" s="124"/>
      <c r="L13" s="126"/>
      <c r="M13" s="124" t="s">
        <v>31</v>
      </c>
      <c r="N13" s="125">
        <f t="shared" si="5"/>
        <v>12</v>
      </c>
      <c r="O13" s="124"/>
      <c r="P13" s="126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7"/>
      <c r="X13" s="17">
        <v>1</v>
      </c>
      <c r="Y13" s="10" t="s">
        <v>31</v>
      </c>
      <c r="Z13" s="10">
        <f t="shared" si="3"/>
        <v>12</v>
      </c>
      <c r="AA13" s="10"/>
      <c r="AB13" s="27"/>
      <c r="AC13" s="124" t="s">
        <v>44</v>
      </c>
      <c r="AD13" s="124">
        <f t="shared" si="8"/>
        <v>12</v>
      </c>
      <c r="AE13" s="124"/>
      <c r="AF13" s="124"/>
      <c r="AG13" s="124" t="s">
        <v>42</v>
      </c>
      <c r="AH13" s="124">
        <f t="shared" si="0"/>
        <v>12</v>
      </c>
      <c r="AI13" s="124"/>
      <c r="AJ13" s="126"/>
      <c r="AK13" s="124" t="s">
        <v>41</v>
      </c>
      <c r="AL13" s="124">
        <f t="shared" si="9"/>
        <v>12</v>
      </c>
      <c r="AM13" s="124"/>
      <c r="AN13" s="126"/>
      <c r="AO13" s="124" t="s">
        <v>29</v>
      </c>
      <c r="AP13" s="125">
        <f t="shared" si="10"/>
        <v>12</v>
      </c>
      <c r="AQ13" s="124"/>
      <c r="AR13" s="126"/>
      <c r="AS13" s="124" t="s">
        <v>42</v>
      </c>
      <c r="AT13" s="124">
        <f t="shared" si="11"/>
        <v>12</v>
      </c>
      <c r="AU13" s="124"/>
      <c r="AV13" s="124"/>
    </row>
    <row r="14" spans="1:50" ht="12.75" customHeight="1">
      <c r="A14" s="124" t="s">
        <v>43</v>
      </c>
      <c r="B14" s="125">
        <f t="shared" si="1"/>
        <v>13</v>
      </c>
      <c r="C14" s="124"/>
      <c r="D14" s="124"/>
      <c r="E14" s="124" t="s">
        <v>40</v>
      </c>
      <c r="F14" s="125">
        <f t="shared" si="2"/>
        <v>13</v>
      </c>
      <c r="G14" s="124"/>
      <c r="H14" s="126"/>
      <c r="I14" s="124" t="s">
        <v>40</v>
      </c>
      <c r="J14" s="125">
        <f t="shared" si="4"/>
        <v>13</v>
      </c>
      <c r="K14" s="124"/>
      <c r="L14" s="124"/>
      <c r="M14" s="124" t="s">
        <v>41</v>
      </c>
      <c r="N14" s="125">
        <f t="shared" si="5"/>
        <v>13</v>
      </c>
      <c r="O14" s="129"/>
      <c r="P14" s="124"/>
      <c r="Q14" s="23" t="s">
        <v>44</v>
      </c>
      <c r="R14" s="13">
        <f t="shared" si="6"/>
        <v>13</v>
      </c>
      <c r="S14" s="12"/>
      <c r="T14" s="12">
        <v>7</v>
      </c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4" t="s">
        <v>29</v>
      </c>
      <c r="AD14" s="124">
        <f t="shared" si="8"/>
        <v>13</v>
      </c>
      <c r="AE14" s="124"/>
      <c r="AF14" s="124"/>
      <c r="AG14" s="124" t="s">
        <v>31</v>
      </c>
      <c r="AH14" s="124">
        <f t="shared" si="0"/>
        <v>13</v>
      </c>
      <c r="AI14" s="124"/>
      <c r="AJ14" s="124"/>
      <c r="AK14" s="124" t="s">
        <v>43</v>
      </c>
      <c r="AL14" s="124">
        <f t="shared" si="9"/>
        <v>13</v>
      </c>
      <c r="AM14" s="124"/>
      <c r="AN14" s="124"/>
      <c r="AO14" s="124" t="s">
        <v>40</v>
      </c>
      <c r="AP14" s="125">
        <f t="shared" si="10"/>
        <v>13</v>
      </c>
      <c r="AQ14" s="124"/>
      <c r="AR14" s="124"/>
      <c r="AS14" s="124" t="s">
        <v>31</v>
      </c>
      <c r="AT14" s="124">
        <f t="shared" si="11"/>
        <v>13</v>
      </c>
      <c r="AU14" s="124"/>
      <c r="AV14" s="124"/>
    </row>
    <row r="15" spans="1:50">
      <c r="A15" s="124" t="s">
        <v>44</v>
      </c>
      <c r="B15" s="125">
        <f t="shared" si="1"/>
        <v>14</v>
      </c>
      <c r="C15" s="124"/>
      <c r="D15" s="124"/>
      <c r="E15" s="124" t="s">
        <v>42</v>
      </c>
      <c r="F15" s="125">
        <f t="shared" si="2"/>
        <v>14</v>
      </c>
      <c r="G15" s="124"/>
      <c r="H15" s="124"/>
      <c r="I15" s="124" t="s">
        <v>42</v>
      </c>
      <c r="J15" s="125">
        <f t="shared" si="4"/>
        <v>14</v>
      </c>
      <c r="K15" s="124"/>
      <c r="L15" s="124"/>
      <c r="M15" s="124" t="s">
        <v>43</v>
      </c>
      <c r="N15" s="125">
        <f t="shared" si="5"/>
        <v>14</v>
      </c>
      <c r="O15" s="124"/>
      <c r="P15" s="124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4" t="s">
        <v>40</v>
      </c>
      <c r="AD15" s="124">
        <f t="shared" si="8"/>
        <v>14</v>
      </c>
      <c r="AE15" s="124"/>
      <c r="AF15" s="124"/>
      <c r="AG15" s="124" t="s">
        <v>41</v>
      </c>
      <c r="AH15" s="124">
        <f t="shared" si="0"/>
        <v>14</v>
      </c>
      <c r="AI15" s="124"/>
      <c r="AJ15" s="124"/>
      <c r="AK15" s="124" t="s">
        <v>44</v>
      </c>
      <c r="AL15" s="124">
        <f t="shared" si="9"/>
        <v>14</v>
      </c>
      <c r="AM15" s="124"/>
      <c r="AN15" s="124"/>
      <c r="AO15" s="124" t="s">
        <v>42</v>
      </c>
      <c r="AP15" s="125">
        <f t="shared" si="10"/>
        <v>14</v>
      </c>
      <c r="AQ15" s="124"/>
      <c r="AR15" s="124"/>
      <c r="AS15" s="124" t="s">
        <v>41</v>
      </c>
      <c r="AT15" s="124">
        <f t="shared" si="11"/>
        <v>14</v>
      </c>
      <c r="AU15" s="124"/>
      <c r="AV15" s="124"/>
    </row>
    <row r="16" spans="1:50">
      <c r="A16" s="124" t="s">
        <v>29</v>
      </c>
      <c r="B16" s="125">
        <f t="shared" si="1"/>
        <v>15</v>
      </c>
      <c r="C16" s="124"/>
      <c r="D16" s="124"/>
      <c r="E16" s="124" t="s">
        <v>31</v>
      </c>
      <c r="F16" s="125">
        <f t="shared" si="2"/>
        <v>15</v>
      </c>
      <c r="G16" s="124"/>
      <c r="H16" s="124"/>
      <c r="I16" s="124" t="s">
        <v>31</v>
      </c>
      <c r="J16" s="125">
        <f t="shared" si="4"/>
        <v>15</v>
      </c>
      <c r="K16" s="124"/>
      <c r="L16" s="124"/>
      <c r="M16" s="124" t="s">
        <v>44</v>
      </c>
      <c r="N16" s="125">
        <f t="shared" si="5"/>
        <v>15</v>
      </c>
      <c r="O16" s="124"/>
      <c r="P16" s="124"/>
      <c r="Q16" s="23" t="s">
        <v>40</v>
      </c>
      <c r="R16" s="13">
        <f t="shared" si="6"/>
        <v>15</v>
      </c>
      <c r="S16" s="12"/>
      <c r="T16" s="12"/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24" t="s">
        <v>42</v>
      </c>
      <c r="AD16" s="125">
        <f t="shared" si="8"/>
        <v>15</v>
      </c>
      <c r="AE16" s="124" t="s">
        <v>51</v>
      </c>
      <c r="AF16" s="124"/>
      <c r="AG16" s="124" t="s">
        <v>43</v>
      </c>
      <c r="AH16" s="124">
        <f t="shared" si="0"/>
        <v>15</v>
      </c>
      <c r="AI16" s="124"/>
      <c r="AJ16" s="124"/>
      <c r="AK16" s="124" t="s">
        <v>29</v>
      </c>
      <c r="AL16" s="124">
        <f t="shared" si="9"/>
        <v>15</v>
      </c>
      <c r="AM16" s="124"/>
      <c r="AN16" s="124"/>
      <c r="AO16" s="124" t="s">
        <v>31</v>
      </c>
      <c r="AP16" s="125">
        <f t="shared" si="10"/>
        <v>15</v>
      </c>
      <c r="AQ16" s="124"/>
      <c r="AR16" s="124"/>
      <c r="AS16" s="124" t="s">
        <v>43</v>
      </c>
      <c r="AT16" s="124">
        <f t="shared" si="11"/>
        <v>15</v>
      </c>
      <c r="AU16" s="124"/>
      <c r="AV16" s="124"/>
    </row>
    <row r="17" spans="1:48">
      <c r="A17" s="124" t="s">
        <v>40</v>
      </c>
      <c r="B17" s="125">
        <f t="shared" si="1"/>
        <v>16</v>
      </c>
      <c r="C17" s="124"/>
      <c r="D17" s="124"/>
      <c r="E17" s="124" t="s">
        <v>41</v>
      </c>
      <c r="F17" s="125">
        <f t="shared" si="2"/>
        <v>16</v>
      </c>
      <c r="G17" s="128"/>
      <c r="H17" s="124"/>
      <c r="I17" s="124" t="s">
        <v>41</v>
      </c>
      <c r="J17" s="125">
        <f t="shared" si="4"/>
        <v>16</v>
      </c>
      <c r="K17" s="124"/>
      <c r="L17" s="124"/>
      <c r="M17" s="124" t="s">
        <v>29</v>
      </c>
      <c r="N17" s="125">
        <f t="shared" si="5"/>
        <v>16</v>
      </c>
      <c r="O17" s="124"/>
      <c r="P17" s="124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82"/>
      <c r="X17" s="82">
        <v>-7</v>
      </c>
      <c r="Y17" s="12" t="s">
        <v>29</v>
      </c>
      <c r="Z17" s="12">
        <f t="shared" si="3"/>
        <v>16</v>
      </c>
      <c r="AA17" s="12"/>
      <c r="AB17" s="12"/>
      <c r="AC17" s="124" t="s">
        <v>31</v>
      </c>
      <c r="AD17" s="124">
        <f t="shared" si="8"/>
        <v>16</v>
      </c>
      <c r="AE17" s="124"/>
      <c r="AF17" s="124"/>
      <c r="AG17" s="124" t="s">
        <v>44</v>
      </c>
      <c r="AH17" s="124">
        <f t="shared" si="0"/>
        <v>16</v>
      </c>
      <c r="AI17" s="124"/>
      <c r="AJ17" s="124"/>
      <c r="AK17" s="124" t="s">
        <v>40</v>
      </c>
      <c r="AL17" s="124">
        <f t="shared" si="9"/>
        <v>16</v>
      </c>
      <c r="AM17" s="124"/>
      <c r="AN17" s="124"/>
      <c r="AO17" s="124" t="s">
        <v>41</v>
      </c>
      <c r="AP17" s="125">
        <f t="shared" si="10"/>
        <v>16</v>
      </c>
      <c r="AQ17" s="124"/>
      <c r="AR17" s="124"/>
      <c r="AS17" s="124" t="s">
        <v>44</v>
      </c>
      <c r="AT17" s="124">
        <f t="shared" si="11"/>
        <v>16</v>
      </c>
      <c r="AU17" s="124"/>
      <c r="AV17" s="124"/>
    </row>
    <row r="18" spans="1:48">
      <c r="A18" s="124" t="s">
        <v>42</v>
      </c>
      <c r="B18" s="125">
        <f t="shared" si="1"/>
        <v>17</v>
      </c>
      <c r="C18" s="127"/>
      <c r="D18" s="127"/>
      <c r="E18" s="124" t="s">
        <v>43</v>
      </c>
      <c r="F18" s="125">
        <f t="shared" si="2"/>
        <v>17</v>
      </c>
      <c r="G18" s="124"/>
      <c r="H18" s="124"/>
      <c r="I18" s="124" t="s">
        <v>43</v>
      </c>
      <c r="J18" s="125">
        <f t="shared" si="4"/>
        <v>17</v>
      </c>
      <c r="K18" s="128"/>
      <c r="L18" s="124"/>
      <c r="M18" s="124" t="s">
        <v>40</v>
      </c>
      <c r="N18" s="125">
        <f t="shared" si="5"/>
        <v>17</v>
      </c>
      <c r="O18" s="128"/>
      <c r="P18" s="124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227"/>
      <c r="X18" s="82">
        <v>-7</v>
      </c>
      <c r="Y18" s="12" t="s">
        <v>40</v>
      </c>
      <c r="Z18" s="12">
        <f t="shared" si="3"/>
        <v>17</v>
      </c>
      <c r="AA18" s="35"/>
      <c r="AB18" s="12"/>
      <c r="AC18" s="124" t="s">
        <v>41</v>
      </c>
      <c r="AD18" s="124">
        <f t="shared" si="8"/>
        <v>17</v>
      </c>
      <c r="AE18" s="124"/>
      <c r="AF18" s="124"/>
      <c r="AG18" s="124" t="s">
        <v>29</v>
      </c>
      <c r="AH18" s="124">
        <f t="shared" si="0"/>
        <v>17</v>
      </c>
      <c r="AI18" s="128"/>
      <c r="AJ18" s="124"/>
      <c r="AK18" s="124" t="s">
        <v>42</v>
      </c>
      <c r="AL18" s="124">
        <f t="shared" si="9"/>
        <v>17</v>
      </c>
      <c r="AM18" s="128"/>
      <c r="AN18" s="124"/>
      <c r="AO18" s="124" t="s">
        <v>43</v>
      </c>
      <c r="AP18" s="125">
        <f t="shared" si="10"/>
        <v>17</v>
      </c>
      <c r="AQ18" s="124"/>
      <c r="AR18" s="124"/>
      <c r="AS18" s="124" t="s">
        <v>29</v>
      </c>
      <c r="AT18" s="124">
        <f t="shared" si="11"/>
        <v>17</v>
      </c>
      <c r="AU18" s="124"/>
      <c r="AV18" s="124"/>
    </row>
    <row r="19" spans="1:48" ht="12.75" customHeight="1">
      <c r="A19" s="124" t="s">
        <v>31</v>
      </c>
      <c r="B19" s="125">
        <f t="shared" si="1"/>
        <v>18</v>
      </c>
      <c r="C19" s="127"/>
      <c r="D19" s="127"/>
      <c r="E19" s="124" t="s">
        <v>44</v>
      </c>
      <c r="F19" s="124">
        <f t="shared" si="2"/>
        <v>18</v>
      </c>
      <c r="G19" s="124"/>
      <c r="H19" s="124"/>
      <c r="I19" s="124" t="s">
        <v>44</v>
      </c>
      <c r="J19" s="125">
        <f t="shared" si="4"/>
        <v>18</v>
      </c>
      <c r="K19" s="124"/>
      <c r="L19" s="124"/>
      <c r="M19" s="124" t="s">
        <v>42</v>
      </c>
      <c r="N19" s="125">
        <f t="shared" si="5"/>
        <v>18</v>
      </c>
      <c r="O19" s="129"/>
      <c r="P19" s="124"/>
      <c r="Q19" s="23" t="s">
        <v>41</v>
      </c>
      <c r="R19" s="13">
        <f t="shared" si="6"/>
        <v>18</v>
      </c>
      <c r="S19" s="12"/>
      <c r="T19" s="12">
        <v>7</v>
      </c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4" t="s">
        <v>43</v>
      </c>
      <c r="AD19" s="124">
        <f t="shared" si="8"/>
        <v>18</v>
      </c>
      <c r="AE19" s="124"/>
      <c r="AF19" s="124"/>
      <c r="AG19" s="124" t="s">
        <v>40</v>
      </c>
      <c r="AH19" s="124">
        <f t="shared" si="0"/>
        <v>18</v>
      </c>
      <c r="AI19" s="124"/>
      <c r="AJ19" s="124"/>
      <c r="AK19" s="124" t="s">
        <v>31</v>
      </c>
      <c r="AL19" s="124">
        <f t="shared" si="9"/>
        <v>18</v>
      </c>
      <c r="AM19" s="124"/>
      <c r="AN19" s="124"/>
      <c r="AO19" s="124" t="s">
        <v>44</v>
      </c>
      <c r="AP19" s="125">
        <f t="shared" si="10"/>
        <v>18</v>
      </c>
      <c r="AQ19" s="139"/>
      <c r="AR19" s="124"/>
      <c r="AS19" s="124" t="s">
        <v>40</v>
      </c>
      <c r="AT19" s="124">
        <f t="shared" si="11"/>
        <v>18</v>
      </c>
      <c r="AU19" s="124"/>
      <c r="AV19" s="124"/>
    </row>
    <row r="20" spans="1:48">
      <c r="A20" s="124" t="s">
        <v>41</v>
      </c>
      <c r="B20" s="125">
        <f t="shared" si="1"/>
        <v>19</v>
      </c>
      <c r="C20" s="127"/>
      <c r="D20" s="127"/>
      <c r="E20" s="124" t="s">
        <v>29</v>
      </c>
      <c r="F20" s="124">
        <f t="shared" si="2"/>
        <v>19</v>
      </c>
      <c r="G20" s="124"/>
      <c r="H20" s="124"/>
      <c r="I20" s="124" t="s">
        <v>29</v>
      </c>
      <c r="J20" s="125">
        <f t="shared" si="4"/>
        <v>19</v>
      </c>
      <c r="K20" s="124"/>
      <c r="L20" s="126"/>
      <c r="M20" s="124" t="s">
        <v>31</v>
      </c>
      <c r="N20" s="125">
        <f t="shared" si="5"/>
        <v>19</v>
      </c>
      <c r="O20" s="124"/>
      <c r="P20" s="126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4" t="s">
        <v>44</v>
      </c>
      <c r="AD20" s="124">
        <f t="shared" si="8"/>
        <v>19</v>
      </c>
      <c r="AE20" s="124"/>
      <c r="AF20" s="124"/>
      <c r="AG20" s="124" t="s">
        <v>42</v>
      </c>
      <c r="AH20" s="124">
        <f t="shared" si="0"/>
        <v>19</v>
      </c>
      <c r="AI20" s="124"/>
      <c r="AJ20" s="126"/>
      <c r="AK20" s="124" t="s">
        <v>41</v>
      </c>
      <c r="AL20" s="124">
        <f t="shared" si="9"/>
        <v>19</v>
      </c>
      <c r="AM20" s="124"/>
      <c r="AN20" s="126"/>
      <c r="AO20" s="124" t="s">
        <v>29</v>
      </c>
      <c r="AP20" s="125">
        <f t="shared" si="10"/>
        <v>19</v>
      </c>
      <c r="AQ20" s="124"/>
      <c r="AR20" s="126"/>
      <c r="AS20" s="124" t="s">
        <v>42</v>
      </c>
      <c r="AT20" s="124">
        <f t="shared" si="11"/>
        <v>19</v>
      </c>
      <c r="AU20" s="124"/>
      <c r="AV20" s="126"/>
    </row>
    <row r="21" spans="1:48">
      <c r="A21" s="124" t="s">
        <v>43</v>
      </c>
      <c r="B21" s="125">
        <f t="shared" si="1"/>
        <v>20</v>
      </c>
      <c r="C21" s="124"/>
      <c r="D21" s="124"/>
      <c r="E21" s="124" t="s">
        <v>40</v>
      </c>
      <c r="F21" s="125">
        <f t="shared" si="2"/>
        <v>20</v>
      </c>
      <c r="G21" s="124"/>
      <c r="H21" s="126"/>
      <c r="I21" s="124" t="s">
        <v>40</v>
      </c>
      <c r="J21" s="125">
        <f t="shared" si="4"/>
        <v>20</v>
      </c>
      <c r="K21" s="124"/>
      <c r="L21" s="124"/>
      <c r="M21" s="124" t="s">
        <v>41</v>
      </c>
      <c r="N21" s="125">
        <f t="shared" si="5"/>
        <v>20</v>
      </c>
      <c r="O21" s="129"/>
      <c r="P21" s="124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4" t="s">
        <v>29</v>
      </c>
      <c r="AD21" s="124">
        <f t="shared" si="8"/>
        <v>20</v>
      </c>
      <c r="AE21" s="124"/>
      <c r="AF21" s="124"/>
      <c r="AG21" s="124" t="s">
        <v>31</v>
      </c>
      <c r="AH21" s="124">
        <f t="shared" si="0"/>
        <v>20</v>
      </c>
      <c r="AI21" s="124"/>
      <c r="AJ21" s="124"/>
      <c r="AK21" s="124" t="s">
        <v>43</v>
      </c>
      <c r="AL21" s="124">
        <f t="shared" si="9"/>
        <v>20</v>
      </c>
      <c r="AM21" s="124"/>
      <c r="AN21" s="124"/>
      <c r="AO21" s="124" t="s">
        <v>40</v>
      </c>
      <c r="AP21" s="125">
        <f t="shared" si="10"/>
        <v>20</v>
      </c>
      <c r="AQ21" s="124"/>
      <c r="AR21" s="124"/>
      <c r="AS21" s="124" t="s">
        <v>31</v>
      </c>
      <c r="AT21" s="124">
        <f t="shared" si="11"/>
        <v>20</v>
      </c>
      <c r="AU21" s="124"/>
      <c r="AV21" s="124"/>
    </row>
    <row r="22" spans="1:48">
      <c r="A22" s="124" t="s">
        <v>44</v>
      </c>
      <c r="B22" s="125">
        <f t="shared" si="1"/>
        <v>21</v>
      </c>
      <c r="C22" s="124"/>
      <c r="D22" s="124"/>
      <c r="E22" s="124" t="s">
        <v>42</v>
      </c>
      <c r="F22" s="125">
        <f t="shared" si="2"/>
        <v>21</v>
      </c>
      <c r="G22" s="124"/>
      <c r="H22" s="124"/>
      <c r="I22" s="124" t="s">
        <v>42</v>
      </c>
      <c r="J22" s="125">
        <f t="shared" si="4"/>
        <v>21</v>
      </c>
      <c r="K22" s="124"/>
      <c r="L22" s="124"/>
      <c r="M22" s="12" t="s">
        <v>43</v>
      </c>
      <c r="N22" s="13">
        <f t="shared" si="5"/>
        <v>21</v>
      </c>
      <c r="O22" s="12"/>
      <c r="P22" s="117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4" t="s">
        <v>40</v>
      </c>
      <c r="AD22" s="124">
        <f t="shared" si="8"/>
        <v>21</v>
      </c>
      <c r="AE22" s="124"/>
      <c r="AF22" s="124"/>
      <c r="AG22" s="124" t="s">
        <v>41</v>
      </c>
      <c r="AH22" s="124">
        <f t="shared" si="0"/>
        <v>21</v>
      </c>
      <c r="AI22" s="124"/>
      <c r="AJ22" s="124"/>
      <c r="AK22" s="124" t="s">
        <v>44</v>
      </c>
      <c r="AL22" s="124">
        <f t="shared" si="9"/>
        <v>21</v>
      </c>
      <c r="AM22" s="124"/>
      <c r="AN22" s="124"/>
      <c r="AO22" s="124" t="s">
        <v>42</v>
      </c>
      <c r="AP22" s="125">
        <f t="shared" si="10"/>
        <v>21</v>
      </c>
      <c r="AQ22" s="124"/>
      <c r="AR22" s="124"/>
      <c r="AS22" s="124" t="s">
        <v>41</v>
      </c>
      <c r="AT22" s="124">
        <f t="shared" si="11"/>
        <v>21</v>
      </c>
      <c r="AU22" s="124"/>
      <c r="AV22" s="124"/>
    </row>
    <row r="23" spans="1:48">
      <c r="A23" s="124" t="s">
        <v>29</v>
      </c>
      <c r="B23" s="125">
        <f t="shared" si="1"/>
        <v>22</v>
      </c>
      <c r="C23" s="124"/>
      <c r="D23" s="124"/>
      <c r="E23" s="124" t="s">
        <v>31</v>
      </c>
      <c r="F23" s="125">
        <f t="shared" si="2"/>
        <v>22</v>
      </c>
      <c r="G23" s="124"/>
      <c r="H23" s="124"/>
      <c r="I23" s="124" t="s">
        <v>31</v>
      </c>
      <c r="J23" s="125">
        <f t="shared" si="4"/>
        <v>22</v>
      </c>
      <c r="K23" s="124"/>
      <c r="L23" s="124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24" t="s">
        <v>42</v>
      </c>
      <c r="AD23" s="124">
        <f t="shared" si="8"/>
        <v>22</v>
      </c>
      <c r="AE23" s="124"/>
      <c r="AF23" s="124"/>
      <c r="AG23" s="124" t="s">
        <v>43</v>
      </c>
      <c r="AH23" s="124">
        <f t="shared" si="0"/>
        <v>22</v>
      </c>
      <c r="AI23" s="124"/>
      <c r="AJ23" s="124"/>
      <c r="AK23" s="124" t="s">
        <v>29</v>
      </c>
      <c r="AL23" s="124">
        <f t="shared" si="9"/>
        <v>22</v>
      </c>
      <c r="AM23" s="124"/>
      <c r="AN23" s="124"/>
      <c r="AO23" s="124" t="s">
        <v>31</v>
      </c>
      <c r="AP23" s="125">
        <f t="shared" si="10"/>
        <v>22</v>
      </c>
      <c r="AQ23" s="139"/>
      <c r="AR23" s="124"/>
      <c r="AS23" s="124" t="s">
        <v>43</v>
      </c>
      <c r="AT23" s="124">
        <f t="shared" si="11"/>
        <v>22</v>
      </c>
      <c r="AU23" s="124"/>
      <c r="AV23" s="124"/>
    </row>
    <row r="24" spans="1:48">
      <c r="A24" s="124" t="s">
        <v>40</v>
      </c>
      <c r="B24" s="125">
        <f t="shared" si="1"/>
        <v>23</v>
      </c>
      <c r="C24" s="124"/>
      <c r="D24" s="124"/>
      <c r="E24" s="124" t="s">
        <v>41</v>
      </c>
      <c r="F24" s="125">
        <f t="shared" si="2"/>
        <v>23</v>
      </c>
      <c r="G24" s="128"/>
      <c r="H24" s="124"/>
      <c r="I24" s="124" t="s">
        <v>41</v>
      </c>
      <c r="J24" s="125">
        <f t="shared" si="4"/>
        <v>23</v>
      </c>
      <c r="K24" s="124"/>
      <c r="L24" s="124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24" t="s">
        <v>31</v>
      </c>
      <c r="AD24" s="124">
        <f t="shared" si="8"/>
        <v>23</v>
      </c>
      <c r="AE24" s="124"/>
      <c r="AF24" s="124"/>
      <c r="AG24" s="124" t="s">
        <v>44</v>
      </c>
      <c r="AH24" s="142">
        <f t="shared" si="0"/>
        <v>23</v>
      </c>
      <c r="AI24" s="142"/>
      <c r="AJ24" s="142"/>
      <c r="AK24" s="124" t="s">
        <v>40</v>
      </c>
      <c r="AL24" s="124">
        <f t="shared" si="9"/>
        <v>23</v>
      </c>
      <c r="AM24" s="124"/>
      <c r="AN24" s="124"/>
      <c r="AO24" s="124" t="s">
        <v>41</v>
      </c>
      <c r="AP24" s="125">
        <f t="shared" si="10"/>
        <v>23</v>
      </c>
      <c r="AQ24" s="139"/>
      <c r="AR24" s="124"/>
      <c r="AS24" s="124" t="s">
        <v>44</v>
      </c>
      <c r="AT24" s="124">
        <f t="shared" si="11"/>
        <v>23</v>
      </c>
      <c r="AU24" s="124"/>
      <c r="AV24" s="124"/>
    </row>
    <row r="25" spans="1:48">
      <c r="A25" s="124" t="s">
        <v>42</v>
      </c>
      <c r="B25" s="125">
        <f t="shared" si="1"/>
        <v>24</v>
      </c>
      <c r="C25" s="124"/>
      <c r="D25" s="124"/>
      <c r="E25" s="124" t="s">
        <v>43</v>
      </c>
      <c r="F25" s="125">
        <f t="shared" si="2"/>
        <v>24</v>
      </c>
      <c r="G25" s="124"/>
      <c r="H25" s="124"/>
      <c r="I25" s="124" t="s">
        <v>43</v>
      </c>
      <c r="J25" s="125">
        <f t="shared" si="4"/>
        <v>24</v>
      </c>
      <c r="K25" s="128"/>
      <c r="L25" s="124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4" t="s">
        <v>41</v>
      </c>
      <c r="AD25" s="124">
        <f t="shared" si="8"/>
        <v>24</v>
      </c>
      <c r="AE25" s="128"/>
      <c r="AF25" s="124"/>
      <c r="AG25" s="124" t="s">
        <v>29</v>
      </c>
      <c r="AH25" s="142">
        <f t="shared" si="0"/>
        <v>24</v>
      </c>
      <c r="AI25" s="142"/>
      <c r="AJ25" s="142"/>
      <c r="AK25" s="124" t="s">
        <v>42</v>
      </c>
      <c r="AL25" s="124">
        <f t="shared" si="9"/>
        <v>24</v>
      </c>
      <c r="AM25" s="128"/>
      <c r="AN25" s="124"/>
      <c r="AO25" s="124" t="s">
        <v>43</v>
      </c>
      <c r="AP25" s="125">
        <f t="shared" si="10"/>
        <v>24</v>
      </c>
      <c r="AQ25" s="139"/>
      <c r="AR25" s="124"/>
      <c r="AS25" s="124" t="s">
        <v>29</v>
      </c>
      <c r="AT25" s="124">
        <f t="shared" si="11"/>
        <v>24</v>
      </c>
      <c r="AU25" s="129"/>
      <c r="AV25" s="124"/>
    </row>
    <row r="26" spans="1:48">
      <c r="A26" s="124" t="s">
        <v>31</v>
      </c>
      <c r="B26" s="125">
        <f t="shared" si="1"/>
        <v>25</v>
      </c>
      <c r="C26" s="124"/>
      <c r="D26" s="124"/>
      <c r="E26" s="124" t="s">
        <v>44</v>
      </c>
      <c r="F26" s="124">
        <f t="shared" si="2"/>
        <v>25</v>
      </c>
      <c r="G26" s="124"/>
      <c r="H26" s="124"/>
      <c r="I26" s="124" t="s">
        <v>44</v>
      </c>
      <c r="J26" s="125">
        <f t="shared" si="4"/>
        <v>25</v>
      </c>
      <c r="K26" s="124"/>
      <c r="L26" s="124"/>
      <c r="M26" s="10" t="s">
        <v>42</v>
      </c>
      <c r="N26" s="11">
        <f t="shared" si="5"/>
        <v>25</v>
      </c>
      <c r="O26" s="10"/>
      <c r="P26" s="10"/>
      <c r="Q26" s="8" t="s">
        <v>41</v>
      </c>
      <c r="R26" s="9">
        <f t="shared" si="6"/>
        <v>25</v>
      </c>
      <c r="S26" s="8" t="s">
        <v>52</v>
      </c>
      <c r="T26" s="8"/>
      <c r="U26" s="12" t="s">
        <v>29</v>
      </c>
      <c r="V26" s="13">
        <f t="shared" si="7"/>
        <v>25</v>
      </c>
      <c r="W26" s="12"/>
      <c r="X26" s="12"/>
      <c r="Y26" s="124" t="s">
        <v>42</v>
      </c>
      <c r="Z26" s="124">
        <f t="shared" si="3"/>
        <v>25</v>
      </c>
      <c r="AA26" s="124"/>
      <c r="AB26" s="124"/>
      <c r="AC26" s="124" t="s">
        <v>43</v>
      </c>
      <c r="AD26" s="124">
        <f t="shared" si="8"/>
        <v>25</v>
      </c>
      <c r="AE26" s="124"/>
      <c r="AF26" s="124"/>
      <c r="AG26" s="124" t="s">
        <v>40</v>
      </c>
      <c r="AH26" s="124">
        <f t="shared" si="0"/>
        <v>25</v>
      </c>
      <c r="AI26" s="124"/>
      <c r="AJ26" s="124"/>
      <c r="AK26" s="124" t="s">
        <v>31</v>
      </c>
      <c r="AL26" s="124">
        <f t="shared" si="9"/>
        <v>25</v>
      </c>
      <c r="AM26" s="124"/>
      <c r="AN26" s="124"/>
      <c r="AO26" s="124" t="s">
        <v>44</v>
      </c>
      <c r="AP26" s="125">
        <f t="shared" si="10"/>
        <v>25</v>
      </c>
      <c r="AQ26" s="139"/>
      <c r="AR26" s="124"/>
      <c r="AS26" s="124" t="s">
        <v>40</v>
      </c>
      <c r="AT26" s="125">
        <f t="shared" si="11"/>
        <v>25</v>
      </c>
      <c r="AU26" s="124" t="s">
        <v>53</v>
      </c>
      <c r="AV26" s="124"/>
    </row>
    <row r="27" spans="1:48">
      <c r="A27" s="124" t="s">
        <v>41</v>
      </c>
      <c r="B27" s="125">
        <f t="shared" si="1"/>
        <v>26</v>
      </c>
      <c r="C27" s="124"/>
      <c r="D27" s="124"/>
      <c r="E27" s="124" t="s">
        <v>29</v>
      </c>
      <c r="F27" s="124">
        <f t="shared" si="2"/>
        <v>26</v>
      </c>
      <c r="G27" s="124"/>
      <c r="H27" s="124"/>
      <c r="I27" s="124" t="s">
        <v>29</v>
      </c>
      <c r="J27" s="125">
        <f t="shared" si="4"/>
        <v>26</v>
      </c>
      <c r="K27" s="124"/>
      <c r="L27" s="126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24" t="s">
        <v>31</v>
      </c>
      <c r="Z27" s="124">
        <f t="shared" si="3"/>
        <v>26</v>
      </c>
      <c r="AA27" s="124"/>
      <c r="AB27" s="126"/>
      <c r="AC27" s="124" t="s">
        <v>44</v>
      </c>
      <c r="AD27" s="124">
        <f t="shared" si="8"/>
        <v>26</v>
      </c>
      <c r="AE27" s="124"/>
      <c r="AF27" s="126"/>
      <c r="AG27" s="124" t="s">
        <v>42</v>
      </c>
      <c r="AH27" s="124">
        <f t="shared" si="0"/>
        <v>26</v>
      </c>
      <c r="AI27" s="124"/>
      <c r="AJ27" s="126"/>
      <c r="AK27" s="124" t="s">
        <v>41</v>
      </c>
      <c r="AL27" s="124">
        <f t="shared" si="9"/>
        <v>26</v>
      </c>
      <c r="AM27" s="124"/>
      <c r="AN27" s="126"/>
      <c r="AO27" s="124" t="s">
        <v>29</v>
      </c>
      <c r="AP27" s="125">
        <f t="shared" si="10"/>
        <v>26</v>
      </c>
      <c r="AQ27" s="139"/>
      <c r="AR27" s="126"/>
      <c r="AS27" s="124" t="s">
        <v>42</v>
      </c>
      <c r="AT27" s="124">
        <f t="shared" si="11"/>
        <v>26</v>
      </c>
      <c r="AU27" s="124"/>
      <c r="AV27" s="126"/>
    </row>
    <row r="28" spans="1:48">
      <c r="A28" s="124" t="s">
        <v>43</v>
      </c>
      <c r="B28" s="125">
        <f t="shared" si="1"/>
        <v>27</v>
      </c>
      <c r="C28" s="124"/>
      <c r="D28" s="124"/>
      <c r="E28" s="124" t="s">
        <v>40</v>
      </c>
      <c r="F28" s="125">
        <f t="shared" si="2"/>
        <v>27</v>
      </c>
      <c r="G28" s="124"/>
      <c r="H28" s="126"/>
      <c r="I28" s="124" t="s">
        <v>40</v>
      </c>
      <c r="J28" s="124">
        <f t="shared" si="4"/>
        <v>27</v>
      </c>
      <c r="K28" s="124" t="s">
        <v>45</v>
      </c>
      <c r="L28" s="126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82"/>
      <c r="T28" s="82">
        <v>-7</v>
      </c>
      <c r="U28" s="10" t="s">
        <v>42</v>
      </c>
      <c r="V28" s="11">
        <f t="shared" si="7"/>
        <v>27</v>
      </c>
      <c r="W28" s="10"/>
      <c r="X28" s="10"/>
      <c r="Y28" s="124" t="s">
        <v>41</v>
      </c>
      <c r="Z28" s="124">
        <f t="shared" si="3"/>
        <v>27</v>
      </c>
      <c r="AA28" s="124"/>
      <c r="AB28" s="124"/>
      <c r="AC28" s="124" t="s">
        <v>29</v>
      </c>
      <c r="AD28" s="124">
        <f t="shared" si="8"/>
        <v>27</v>
      </c>
      <c r="AE28" s="124"/>
      <c r="AF28" s="124"/>
      <c r="AG28" s="124" t="s">
        <v>31</v>
      </c>
      <c r="AH28" s="124">
        <f t="shared" si="0"/>
        <v>27</v>
      </c>
      <c r="AI28" s="124"/>
      <c r="AJ28" s="124"/>
      <c r="AK28" s="124" t="s">
        <v>43</v>
      </c>
      <c r="AL28" s="124">
        <f t="shared" si="9"/>
        <v>27</v>
      </c>
      <c r="AM28" s="124"/>
      <c r="AN28" s="124"/>
      <c r="AO28" s="124" t="s">
        <v>40</v>
      </c>
      <c r="AP28" s="125">
        <f t="shared" si="10"/>
        <v>27</v>
      </c>
      <c r="AQ28" s="124"/>
      <c r="AR28" s="124"/>
      <c r="AS28" s="124" t="s">
        <v>31</v>
      </c>
      <c r="AT28" s="124">
        <f t="shared" si="11"/>
        <v>27</v>
      </c>
      <c r="AU28" s="124"/>
      <c r="AV28" s="124"/>
    </row>
    <row r="29" spans="1:48">
      <c r="A29" s="124" t="s">
        <v>44</v>
      </c>
      <c r="B29" s="125">
        <f t="shared" si="1"/>
        <v>28</v>
      </c>
      <c r="C29" s="124"/>
      <c r="D29" s="124"/>
      <c r="E29" s="124" t="s">
        <v>42</v>
      </c>
      <c r="F29" s="125">
        <f t="shared" si="2"/>
        <v>28</v>
      </c>
      <c r="G29" s="124"/>
      <c r="H29" s="124"/>
      <c r="I29" s="124" t="s">
        <v>42</v>
      </c>
      <c r="J29" s="125">
        <f t="shared" si="4"/>
        <v>28</v>
      </c>
      <c r="K29" s="124"/>
      <c r="L29" s="124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82"/>
      <c r="T29" s="82">
        <v>-7</v>
      </c>
      <c r="U29" s="10" t="s">
        <v>31</v>
      </c>
      <c r="V29" s="11">
        <f t="shared" si="7"/>
        <v>28</v>
      </c>
      <c r="W29" s="10"/>
      <c r="X29" s="10"/>
      <c r="Y29" s="124" t="s">
        <v>43</v>
      </c>
      <c r="Z29" s="124">
        <f t="shared" si="3"/>
        <v>28</v>
      </c>
      <c r="AA29" s="124"/>
      <c r="AB29" s="124"/>
      <c r="AC29" s="124" t="s">
        <v>40</v>
      </c>
      <c r="AD29" s="124">
        <f t="shared" si="8"/>
        <v>28</v>
      </c>
      <c r="AE29" s="124"/>
      <c r="AF29" s="124"/>
      <c r="AG29" s="124" t="s">
        <v>41</v>
      </c>
      <c r="AH29" s="124">
        <f t="shared" si="0"/>
        <v>28</v>
      </c>
      <c r="AI29" s="124"/>
      <c r="AJ29" s="124"/>
      <c r="AK29" s="124" t="s">
        <v>44</v>
      </c>
      <c r="AL29" s="124">
        <f t="shared" si="9"/>
        <v>28</v>
      </c>
      <c r="AM29" s="124"/>
      <c r="AN29" s="124"/>
      <c r="AO29" s="124" t="s">
        <v>42</v>
      </c>
      <c r="AP29" s="125">
        <f t="shared" si="10"/>
        <v>28</v>
      </c>
      <c r="AQ29" s="124"/>
      <c r="AR29" s="124"/>
      <c r="AS29" s="124" t="s">
        <v>41</v>
      </c>
      <c r="AT29" s="124">
        <f t="shared" si="11"/>
        <v>28</v>
      </c>
      <c r="AU29" s="124"/>
      <c r="AV29" s="124"/>
    </row>
    <row r="30" spans="1:48">
      <c r="A30" s="124" t="s">
        <v>29</v>
      </c>
      <c r="B30" s="125">
        <f t="shared" si="1"/>
        <v>29</v>
      </c>
      <c r="C30" s="124"/>
      <c r="D30" s="124"/>
      <c r="E30" s="124"/>
      <c r="F30" s="125"/>
      <c r="G30" s="124"/>
      <c r="H30" s="124"/>
      <c r="I30" s="124" t="s">
        <v>31</v>
      </c>
      <c r="J30" s="125">
        <f t="shared" si="4"/>
        <v>29</v>
      </c>
      <c r="K30" s="124"/>
      <c r="L30" s="124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4" t="s">
        <v>44</v>
      </c>
      <c r="Z30" s="124">
        <f t="shared" si="3"/>
        <v>29</v>
      </c>
      <c r="AA30" s="124"/>
      <c r="AB30" s="124"/>
      <c r="AC30" s="124" t="s">
        <v>42</v>
      </c>
      <c r="AD30" s="124">
        <f t="shared" si="8"/>
        <v>29</v>
      </c>
      <c r="AE30" s="124"/>
      <c r="AF30" s="124"/>
      <c r="AG30" s="124" t="s">
        <v>43</v>
      </c>
      <c r="AH30" s="124">
        <f t="shared" si="0"/>
        <v>29</v>
      </c>
      <c r="AI30" s="124"/>
      <c r="AJ30" s="124"/>
      <c r="AK30" s="124" t="s">
        <v>29</v>
      </c>
      <c r="AL30" s="124">
        <f t="shared" si="9"/>
        <v>29</v>
      </c>
      <c r="AM30" s="124"/>
      <c r="AN30" s="124"/>
      <c r="AO30" s="124" t="s">
        <v>31</v>
      </c>
      <c r="AP30" s="125">
        <f t="shared" si="10"/>
        <v>29</v>
      </c>
      <c r="AQ30" s="139"/>
      <c r="AR30" s="124"/>
      <c r="AS30" s="124" t="s">
        <v>43</v>
      </c>
      <c r="AT30" s="124">
        <f t="shared" si="11"/>
        <v>29</v>
      </c>
      <c r="AU30" s="124"/>
      <c r="AV30" s="124"/>
    </row>
    <row r="31" spans="1:48">
      <c r="A31" s="124" t="s">
        <v>40</v>
      </c>
      <c r="B31" s="125">
        <f t="shared" si="1"/>
        <v>30</v>
      </c>
      <c r="C31" s="124"/>
      <c r="D31" s="124"/>
      <c r="E31" s="124"/>
      <c r="F31" s="125"/>
      <c r="G31" s="124"/>
      <c r="H31" s="124"/>
      <c r="I31" s="124" t="s">
        <v>41</v>
      </c>
      <c r="J31" s="125">
        <f t="shared" si="4"/>
        <v>30</v>
      </c>
      <c r="K31" s="124"/>
      <c r="L31" s="124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4" t="s">
        <v>29</v>
      </c>
      <c r="Z31" s="124">
        <f t="shared" si="3"/>
        <v>30</v>
      </c>
      <c r="AA31" s="124"/>
      <c r="AB31" s="124"/>
      <c r="AC31" s="124" t="s">
        <v>31</v>
      </c>
      <c r="AD31" s="124">
        <f t="shared" si="8"/>
        <v>30</v>
      </c>
      <c r="AE31" s="124"/>
      <c r="AF31" s="124"/>
      <c r="AG31" s="124" t="s">
        <v>44</v>
      </c>
      <c r="AH31" s="124">
        <f t="shared" si="0"/>
        <v>30</v>
      </c>
      <c r="AI31" s="124"/>
      <c r="AJ31" s="124"/>
      <c r="AK31" s="124" t="s">
        <v>40</v>
      </c>
      <c r="AL31" s="124">
        <f t="shared" si="9"/>
        <v>30</v>
      </c>
      <c r="AM31" s="124"/>
      <c r="AN31" s="124"/>
      <c r="AO31" s="124" t="s">
        <v>41</v>
      </c>
      <c r="AP31" s="125">
        <f t="shared" si="10"/>
        <v>30</v>
      </c>
      <c r="AQ31" s="139"/>
      <c r="AR31" s="124"/>
      <c r="AS31" s="124" t="s">
        <v>44</v>
      </c>
      <c r="AT31" s="124">
        <f t="shared" si="11"/>
        <v>30</v>
      </c>
      <c r="AU31" s="124"/>
      <c r="AV31" s="124"/>
    </row>
    <row r="32" spans="1:48">
      <c r="A32" s="124" t="s">
        <v>42</v>
      </c>
      <c r="B32" s="125">
        <f t="shared" si="1"/>
        <v>31</v>
      </c>
      <c r="C32" s="124"/>
      <c r="D32" s="124"/>
      <c r="E32" s="124"/>
      <c r="F32" s="125"/>
      <c r="G32" s="124"/>
      <c r="H32" s="124"/>
      <c r="I32" s="124" t="s">
        <v>43</v>
      </c>
      <c r="J32" s="125">
        <f t="shared" si="4"/>
        <v>31</v>
      </c>
      <c r="K32" s="124"/>
      <c r="L32" s="124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4" t="s">
        <v>40</v>
      </c>
      <c r="Z32" s="124">
        <f t="shared" si="3"/>
        <v>31</v>
      </c>
      <c r="AA32" s="124"/>
      <c r="AB32" s="124"/>
      <c r="AC32" s="124" t="s">
        <v>41</v>
      </c>
      <c r="AD32" s="124">
        <f t="shared" si="8"/>
        <v>31</v>
      </c>
      <c r="AE32" s="124"/>
      <c r="AF32" s="124"/>
      <c r="AG32" s="124"/>
      <c r="AH32" s="124"/>
      <c r="AI32" s="124"/>
      <c r="AJ32" s="124"/>
      <c r="AK32" s="124" t="s">
        <v>42</v>
      </c>
      <c r="AL32" s="124">
        <f t="shared" si="9"/>
        <v>31</v>
      </c>
      <c r="AM32" s="124"/>
      <c r="AN32" s="124"/>
      <c r="AO32" s="124"/>
      <c r="AP32" s="124"/>
      <c r="AQ32" s="124"/>
      <c r="AR32" s="124"/>
      <c r="AS32" s="124" t="s">
        <v>29</v>
      </c>
      <c r="AT32" s="124">
        <f t="shared" si="11"/>
        <v>31</v>
      </c>
      <c r="AU32" s="124"/>
      <c r="AV32" s="124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0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-23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 ht="14.4" thickBot="1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16</v>
      </c>
      <c r="T36" s="54" t="s">
        <v>58</v>
      </c>
      <c r="U36" s="51" t="s">
        <v>57</v>
      </c>
      <c r="V36" s="52"/>
      <c r="W36" s="53">
        <v>2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 thickBo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51" t="s">
        <v>65</v>
      </c>
      <c r="N39" s="2"/>
      <c r="O39" s="53">
        <v>0</v>
      </c>
      <c r="P39" s="54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53"/>
      <c r="F40" s="2"/>
      <c r="G40" s="53"/>
      <c r="K40" s="53"/>
      <c r="M40" s="130" t="s">
        <v>95</v>
      </c>
      <c r="N40" s="137">
        <v>12.5</v>
      </c>
      <c r="O40" s="131">
        <v>3</v>
      </c>
      <c r="P40" s="132">
        <f>N40*O40</f>
        <v>37.5</v>
      </c>
      <c r="Q40" s="187" t="s">
        <v>107</v>
      </c>
      <c r="R40" s="188"/>
      <c r="S40" s="188"/>
      <c r="T40" s="188"/>
      <c r="W40" s="53"/>
      <c r="Z40" s="2"/>
      <c r="AA40" s="53"/>
      <c r="AD40" s="2"/>
      <c r="AE40" s="53"/>
      <c r="AH40" s="2"/>
      <c r="AI40" s="53"/>
      <c r="AL40" s="2"/>
      <c r="AM40" s="53"/>
      <c r="AP40" s="2"/>
      <c r="AQ40" s="53"/>
      <c r="AT40" s="2"/>
      <c r="AU40" s="26"/>
      <c r="AV40" s="54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33" t="s">
        <v>96</v>
      </c>
      <c r="N41" s="134">
        <v>18</v>
      </c>
      <c r="O41" s="135"/>
      <c r="P41" s="136"/>
      <c r="Q41" s="189"/>
      <c r="R41" s="190"/>
      <c r="S41" s="190"/>
      <c r="T41" s="190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75"/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1000000}"/>
  <mergeCells count="19">
    <mergeCell ref="AO1:AP1"/>
    <mergeCell ref="AS1:AT1"/>
    <mergeCell ref="A1:B1"/>
    <mergeCell ref="E1:F1"/>
    <mergeCell ref="I1:J1"/>
    <mergeCell ref="M1:N1"/>
    <mergeCell ref="Q1:R1"/>
    <mergeCell ref="U1:V1"/>
    <mergeCell ref="B60:E60"/>
    <mergeCell ref="Y1:Z1"/>
    <mergeCell ref="AC1:AD1"/>
    <mergeCell ref="AG1:AH1"/>
    <mergeCell ref="AK1:AL1"/>
    <mergeCell ref="A44:C44"/>
    <mergeCell ref="A45:D45"/>
    <mergeCell ref="A46:C46"/>
    <mergeCell ref="A47:C47"/>
    <mergeCell ref="E49:G49"/>
    <mergeCell ref="Q40:T41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60"/>
  <sheetViews>
    <sheetView showGridLines="0" topLeftCell="I16" zoomScale="80" zoomScaleNormal="80" workbookViewId="0">
      <selection activeCell="S37" sqref="S37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7" t="s">
        <v>40</v>
      </c>
      <c r="B3" s="18">
        <f t="shared" ref="B3:B32" si="1">+B2+1</f>
        <v>2</v>
      </c>
      <c r="C3" s="17"/>
      <c r="D3" s="17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88" t="s">
        <v>40</v>
      </c>
      <c r="R16" s="114">
        <f t="shared" si="6"/>
        <v>15</v>
      </c>
      <c r="S16" s="179" t="s">
        <v>102</v>
      </c>
      <c r="T16" s="180"/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7" t="s">
        <v>44</v>
      </c>
      <c r="J19" s="18">
        <f t="shared" si="4"/>
        <v>18</v>
      </c>
      <c r="K19" s="17"/>
      <c r="L19" s="17">
        <v>1</v>
      </c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7" t="s">
        <v>29</v>
      </c>
      <c r="J20" s="18">
        <f t="shared" si="4"/>
        <v>19</v>
      </c>
      <c r="K20" s="17"/>
      <c r="L20" s="96">
        <v>1</v>
      </c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7" t="s">
        <v>40</v>
      </c>
      <c r="J21" s="18">
        <f t="shared" si="4"/>
        <v>20</v>
      </c>
      <c r="K21" s="17"/>
      <c r="L21" s="17">
        <v>1</v>
      </c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0" t="s">
        <v>44</v>
      </c>
      <c r="B22" s="121">
        <f t="shared" si="1"/>
        <v>21</v>
      </c>
      <c r="C22" s="191" t="s">
        <v>84</v>
      </c>
      <c r="D22" s="19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8" t="s">
        <v>41</v>
      </c>
      <c r="R26" s="9">
        <f t="shared" si="6"/>
        <v>25</v>
      </c>
      <c r="S26" s="8" t="s">
        <v>52</v>
      </c>
      <c r="T26" s="8"/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17" t="s">
        <v>44</v>
      </c>
      <c r="R28" s="18">
        <f t="shared" si="6"/>
        <v>27</v>
      </c>
      <c r="S28" s="17"/>
      <c r="T28" s="17">
        <v>1</v>
      </c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0</v>
      </c>
      <c r="I33" s="12" t="s">
        <v>54</v>
      </c>
      <c r="J33" s="13"/>
      <c r="K33" s="20">
        <f>SUM(K2:K32)</f>
        <v>0</v>
      </c>
      <c r="L33" s="20">
        <f>SUM(L2:L32)</f>
        <v>3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-0.5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53"/>
      <c r="F40" s="2"/>
      <c r="G40" s="53"/>
      <c r="K40" s="53"/>
      <c r="N40" s="2"/>
      <c r="O40" s="53"/>
      <c r="S40" s="53"/>
      <c r="W40" s="53"/>
      <c r="Z40" s="2"/>
      <c r="AA40" s="53"/>
      <c r="AD40" s="2"/>
      <c r="AE40" s="53"/>
      <c r="AH40" s="2"/>
      <c r="AI40" s="53"/>
      <c r="AL40" s="2"/>
      <c r="AM40" s="53"/>
      <c r="AP40" s="2"/>
      <c r="AQ40" s="53"/>
      <c r="AT40" s="2"/>
      <c r="AU40" s="26"/>
      <c r="AV40" s="54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38110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6000000}"/>
  <mergeCells count="21">
    <mergeCell ref="AO1:AP1"/>
    <mergeCell ref="AS1:AT1"/>
    <mergeCell ref="C22:D22"/>
    <mergeCell ref="O22:P22"/>
    <mergeCell ref="A44:C44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S16:T16"/>
    <mergeCell ref="A45:D45"/>
    <mergeCell ref="A46:C46"/>
    <mergeCell ref="A47:C47"/>
    <mergeCell ref="E49:G49"/>
    <mergeCell ref="B60:E60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60"/>
  <sheetViews>
    <sheetView showGridLines="0" topLeftCell="A13" zoomScale="80" zoomScaleNormal="80" workbookViewId="0">
      <selection activeCell="N35" sqref="N35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10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91" t="s">
        <v>35</v>
      </c>
      <c r="V2" s="92">
        <f>+V1+1</f>
        <v>1</v>
      </c>
      <c r="W2" s="177" t="s">
        <v>109</v>
      </c>
      <c r="X2" s="178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7" t="s">
        <v>40</v>
      </c>
      <c r="B3" s="18">
        <f t="shared" ref="B3:B32" si="1">+B2+1</f>
        <v>2</v>
      </c>
      <c r="C3" s="17"/>
      <c r="D3" s="17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91" t="s">
        <v>40</v>
      </c>
      <c r="AH12" s="91">
        <f t="shared" si="0"/>
        <v>11</v>
      </c>
      <c r="AI12" s="177" t="s">
        <v>108</v>
      </c>
      <c r="AJ12" s="178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88" t="s">
        <v>40</v>
      </c>
      <c r="R16" s="114">
        <f t="shared" si="6"/>
        <v>15</v>
      </c>
      <c r="S16" s="179" t="s">
        <v>101</v>
      </c>
      <c r="T16" s="180"/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82" t="s">
        <v>40</v>
      </c>
      <c r="B17" s="113">
        <f t="shared" si="1"/>
        <v>16</v>
      </c>
      <c r="C17" s="82" t="s">
        <v>75</v>
      </c>
      <c r="D17" s="82">
        <v>-5.5</v>
      </c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2" t="s">
        <v>40</v>
      </c>
      <c r="J21" s="13">
        <f t="shared" si="4"/>
        <v>20</v>
      </c>
      <c r="K21" s="12"/>
      <c r="L21" s="12"/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17" t="s">
        <v>41</v>
      </c>
      <c r="R26" s="18">
        <f t="shared" si="6"/>
        <v>25</v>
      </c>
      <c r="S26" s="17" t="s">
        <v>52</v>
      </c>
      <c r="T26" s="17">
        <v>1</v>
      </c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0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51.25</v>
      </c>
      <c r="D36" s="54" t="s">
        <v>58</v>
      </c>
      <c r="E36" s="51" t="s">
        <v>57</v>
      </c>
      <c r="F36" s="52"/>
      <c r="G36" s="53">
        <v>51.3</v>
      </c>
      <c r="H36" s="54" t="s">
        <v>58</v>
      </c>
      <c r="I36" s="51" t="s">
        <v>57</v>
      </c>
      <c r="J36" s="52"/>
      <c r="K36" s="53">
        <f>51.3+6</f>
        <v>57.3</v>
      </c>
      <c r="L36" s="54" t="s">
        <v>58</v>
      </c>
      <c r="M36" s="51" t="s">
        <v>57</v>
      </c>
      <c r="N36" s="52"/>
      <c r="O36" s="53">
        <f>57.3+5</f>
        <v>62.3</v>
      </c>
      <c r="P36" s="54" t="s">
        <v>58</v>
      </c>
      <c r="Q36" s="51" t="s">
        <v>57</v>
      </c>
      <c r="R36" s="52"/>
      <c r="S36" s="53">
        <v>62.3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67"/>
      <c r="AW40" s="109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36528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8000000}"/>
  <mergeCells count="22">
    <mergeCell ref="AS1:AT1"/>
    <mergeCell ref="O22:P22"/>
    <mergeCell ref="A44:C44"/>
    <mergeCell ref="A45:D45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A46:C46"/>
    <mergeCell ref="A47:C47"/>
    <mergeCell ref="E49:G49"/>
    <mergeCell ref="B60:E60"/>
    <mergeCell ref="AO1:AP1"/>
    <mergeCell ref="S16:T16"/>
    <mergeCell ref="AI12:AJ12"/>
    <mergeCell ref="W2:X2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60"/>
  <sheetViews>
    <sheetView showGridLines="0" zoomScale="80" zoomScaleNormal="80" workbookViewId="0">
      <selection activeCell="Y18" sqref="Y18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94" t="s">
        <v>35</v>
      </c>
      <c r="V2" s="95">
        <f>+V1+1</f>
        <v>1</v>
      </c>
      <c r="W2" s="99"/>
      <c r="X2" s="94"/>
      <c r="Y2" s="94" t="s">
        <v>32</v>
      </c>
      <c r="Z2" s="94">
        <f>+Z1+1</f>
        <v>1</v>
      </c>
      <c r="AA2" s="94"/>
      <c r="AB2" s="94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7" t="s">
        <v>40</v>
      </c>
      <c r="B3" s="18">
        <f t="shared" ref="B3:B32" si="1">+B2+1</f>
        <v>2</v>
      </c>
      <c r="C3" s="17"/>
      <c r="D3" s="17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94" t="s">
        <v>43</v>
      </c>
      <c r="V3" s="95">
        <f>+V2+1</f>
        <v>2</v>
      </c>
      <c r="W3" s="94"/>
      <c r="X3" s="94"/>
      <c r="Y3" s="94" t="s">
        <v>29</v>
      </c>
      <c r="Z3" s="94">
        <f t="shared" ref="Z3:Z32" si="3">+Z2+1</f>
        <v>2</v>
      </c>
      <c r="AA3" s="143"/>
      <c r="AB3" s="143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94" t="s">
        <v>44</v>
      </c>
      <c r="V4" s="95">
        <f>+V3+1</f>
        <v>3</v>
      </c>
      <c r="W4" s="95"/>
      <c r="X4" s="95"/>
      <c r="Y4" s="94" t="s">
        <v>40</v>
      </c>
      <c r="Z4" s="94">
        <f t="shared" si="3"/>
        <v>3</v>
      </c>
      <c r="AA4" s="94"/>
      <c r="AB4" s="94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94" t="s">
        <v>41</v>
      </c>
      <c r="R5" s="94">
        <f>+R4+1</f>
        <v>4</v>
      </c>
      <c r="S5" s="193" t="s">
        <v>106</v>
      </c>
      <c r="T5" s="194"/>
      <c r="U5" s="94" t="s">
        <v>29</v>
      </c>
      <c r="V5" s="95">
        <f>+V4+1</f>
        <v>4</v>
      </c>
      <c r="W5" s="94"/>
      <c r="X5" s="94"/>
      <c r="Y5" s="94" t="s">
        <v>42</v>
      </c>
      <c r="Z5" s="94">
        <f t="shared" si="3"/>
        <v>4</v>
      </c>
      <c r="AA5" s="94"/>
      <c r="AB5" s="94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94" t="s">
        <v>43</v>
      </c>
      <c r="R6" s="95">
        <f>+R5+1</f>
        <v>5</v>
      </c>
      <c r="S6" s="195"/>
      <c r="T6" s="196"/>
      <c r="U6" s="94" t="s">
        <v>40</v>
      </c>
      <c r="V6" s="95">
        <f>+V5+1</f>
        <v>5</v>
      </c>
      <c r="W6" s="94"/>
      <c r="X6" s="94"/>
      <c r="Y6" s="94" t="s">
        <v>31</v>
      </c>
      <c r="Z6" s="94">
        <f t="shared" si="3"/>
        <v>5</v>
      </c>
      <c r="AA6" s="94"/>
      <c r="AB6" s="100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94" t="s">
        <v>44</v>
      </c>
      <c r="R7" s="95">
        <v>6</v>
      </c>
      <c r="S7" s="197"/>
      <c r="T7" s="198"/>
      <c r="U7" s="94" t="s">
        <v>42</v>
      </c>
      <c r="V7" s="95">
        <v>6</v>
      </c>
      <c r="W7" s="94"/>
      <c r="X7" s="94"/>
      <c r="Y7" s="94" t="s">
        <v>41</v>
      </c>
      <c r="Z7" s="94">
        <f t="shared" si="3"/>
        <v>6</v>
      </c>
      <c r="AA7" s="94"/>
      <c r="AB7" s="94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10" t="s">
        <v>43</v>
      </c>
      <c r="N8" s="111">
        <f t="shared" ref="N8:N32" si="5">+N7+1</f>
        <v>7</v>
      </c>
      <c r="O8" s="110"/>
      <c r="P8" s="112">
        <v>1</v>
      </c>
      <c r="Q8" s="94" t="s">
        <v>29</v>
      </c>
      <c r="R8" s="95">
        <f t="shared" ref="R8:R32" si="6">+R7+1</f>
        <v>7</v>
      </c>
      <c r="S8" s="94"/>
      <c r="T8" s="94"/>
      <c r="U8" s="94" t="s">
        <v>31</v>
      </c>
      <c r="V8" s="95">
        <f t="shared" ref="V8:V31" si="7">+V7+1</f>
        <v>7</v>
      </c>
      <c r="W8" s="94"/>
      <c r="X8" s="94"/>
      <c r="Y8" s="94" t="s">
        <v>43</v>
      </c>
      <c r="Z8" s="94">
        <f t="shared" si="3"/>
        <v>7</v>
      </c>
      <c r="AA8" s="94"/>
      <c r="AB8" s="94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94" t="s">
        <v>40</v>
      </c>
      <c r="R9" s="95">
        <f t="shared" si="6"/>
        <v>8</v>
      </c>
      <c r="S9" s="94" t="s">
        <v>47</v>
      </c>
      <c r="T9" s="94"/>
      <c r="U9" s="94" t="s">
        <v>41</v>
      </c>
      <c r="V9" s="95">
        <f t="shared" si="7"/>
        <v>8</v>
      </c>
      <c r="W9" s="94"/>
      <c r="X9" s="94"/>
      <c r="Y9" s="94" t="s">
        <v>44</v>
      </c>
      <c r="Z9" s="94">
        <f t="shared" si="3"/>
        <v>8</v>
      </c>
      <c r="AA9" s="94"/>
      <c r="AB9" s="94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94" t="s">
        <v>42</v>
      </c>
      <c r="R10" s="95">
        <f t="shared" si="6"/>
        <v>9</v>
      </c>
      <c r="S10" s="94"/>
      <c r="T10" s="94"/>
      <c r="U10" s="94" t="s">
        <v>43</v>
      </c>
      <c r="V10" s="95">
        <f t="shared" si="7"/>
        <v>9</v>
      </c>
      <c r="W10" s="94"/>
      <c r="X10" s="94"/>
      <c r="Y10" s="94" t="s">
        <v>29</v>
      </c>
      <c r="Z10" s="94">
        <f t="shared" si="3"/>
        <v>9</v>
      </c>
      <c r="AA10" s="94"/>
      <c r="AB10" s="94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94" t="s">
        <v>31</v>
      </c>
      <c r="R11" s="95">
        <f t="shared" si="6"/>
        <v>10</v>
      </c>
      <c r="S11" s="94"/>
      <c r="T11" s="94"/>
      <c r="U11" s="94" t="s">
        <v>44</v>
      </c>
      <c r="V11" s="95">
        <f t="shared" si="7"/>
        <v>10</v>
      </c>
      <c r="W11" s="94"/>
      <c r="X11" s="94"/>
      <c r="Y11" s="94" t="s">
        <v>40</v>
      </c>
      <c r="Z11" s="94">
        <f t="shared" si="3"/>
        <v>10</v>
      </c>
      <c r="AA11" s="104"/>
      <c r="AB11" s="94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94" t="s">
        <v>41</v>
      </c>
      <c r="R12" s="95">
        <f t="shared" si="6"/>
        <v>11</v>
      </c>
      <c r="S12" s="94"/>
      <c r="T12" s="94"/>
      <c r="U12" s="94" t="s">
        <v>29</v>
      </c>
      <c r="V12" s="95">
        <f t="shared" si="7"/>
        <v>11</v>
      </c>
      <c r="W12" s="94"/>
      <c r="X12" s="94"/>
      <c r="Y12" s="94" t="s">
        <v>42</v>
      </c>
      <c r="Z12" s="94">
        <f t="shared" si="3"/>
        <v>11</v>
      </c>
      <c r="AA12" s="94"/>
      <c r="AB12" s="94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94" t="s">
        <v>43</v>
      </c>
      <c r="R13" s="94">
        <f t="shared" si="6"/>
        <v>12</v>
      </c>
      <c r="S13" s="94"/>
      <c r="T13" s="94"/>
      <c r="U13" s="94" t="s">
        <v>40</v>
      </c>
      <c r="V13" s="95">
        <f t="shared" si="7"/>
        <v>12</v>
      </c>
      <c r="W13" s="94"/>
      <c r="X13" s="94"/>
      <c r="Y13" s="94" t="s">
        <v>31</v>
      </c>
      <c r="Z13" s="94">
        <f t="shared" si="3"/>
        <v>12</v>
      </c>
      <c r="AA13" s="94"/>
      <c r="AB13" s="100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94" t="s">
        <v>44</v>
      </c>
      <c r="R14" s="95">
        <f t="shared" si="6"/>
        <v>13</v>
      </c>
      <c r="S14" s="94"/>
      <c r="T14" s="94"/>
      <c r="U14" s="94" t="s">
        <v>42</v>
      </c>
      <c r="V14" s="95">
        <f t="shared" si="7"/>
        <v>13</v>
      </c>
      <c r="W14" s="94"/>
      <c r="X14" s="94"/>
      <c r="Y14" s="94" t="s">
        <v>41</v>
      </c>
      <c r="Z14" s="94">
        <f t="shared" si="3"/>
        <v>13</v>
      </c>
      <c r="AA14" s="94" t="s">
        <v>45</v>
      </c>
      <c r="AB14" s="94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94" t="s">
        <v>29</v>
      </c>
      <c r="R15" s="95">
        <f t="shared" si="6"/>
        <v>14</v>
      </c>
      <c r="S15" s="94" t="s">
        <v>49</v>
      </c>
      <c r="T15" s="143"/>
      <c r="U15" s="94" t="s">
        <v>31</v>
      </c>
      <c r="V15" s="95">
        <f t="shared" si="7"/>
        <v>14</v>
      </c>
      <c r="W15" s="94"/>
      <c r="X15" s="94"/>
      <c r="Y15" s="94" t="s">
        <v>43</v>
      </c>
      <c r="Z15" s="94">
        <f t="shared" si="3"/>
        <v>14</v>
      </c>
      <c r="AA15" s="94" t="s">
        <v>50</v>
      </c>
      <c r="AB15" s="94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94" t="s">
        <v>40</v>
      </c>
      <c r="R16" s="95">
        <f t="shared" si="6"/>
        <v>15</v>
      </c>
      <c r="S16" s="94"/>
      <c r="T16" s="94"/>
      <c r="U16" s="94" t="s">
        <v>41</v>
      </c>
      <c r="V16" s="95">
        <f t="shared" si="7"/>
        <v>15</v>
      </c>
      <c r="W16" s="94"/>
      <c r="X16" s="94"/>
      <c r="Y16" s="94" t="s">
        <v>44</v>
      </c>
      <c r="Z16" s="94">
        <f t="shared" si="3"/>
        <v>15</v>
      </c>
      <c r="AA16" s="94"/>
      <c r="AB16" s="94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94" t="s">
        <v>42</v>
      </c>
      <c r="R17" s="95">
        <f t="shared" si="6"/>
        <v>16</v>
      </c>
      <c r="S17" s="99"/>
      <c r="T17" s="94"/>
      <c r="U17" s="94" t="s">
        <v>43</v>
      </c>
      <c r="V17" s="95">
        <f t="shared" si="7"/>
        <v>16</v>
      </c>
      <c r="W17" s="94"/>
      <c r="X17" s="94"/>
      <c r="Y17" s="94" t="s">
        <v>29</v>
      </c>
      <c r="Z17" s="94">
        <f t="shared" si="3"/>
        <v>16</v>
      </c>
      <c r="AA17" s="94"/>
      <c r="AB17" s="94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94" t="s">
        <v>31</v>
      </c>
      <c r="R18" s="95">
        <f t="shared" si="6"/>
        <v>17</v>
      </c>
      <c r="S18" s="104"/>
      <c r="T18" s="94"/>
      <c r="U18" s="94" t="s">
        <v>44</v>
      </c>
      <c r="V18" s="95">
        <f t="shared" si="7"/>
        <v>17</v>
      </c>
      <c r="W18" s="104"/>
      <c r="X18" s="94"/>
      <c r="Y18" s="94" t="s">
        <v>40</v>
      </c>
      <c r="Z18" s="94">
        <f t="shared" si="3"/>
        <v>17</v>
      </c>
      <c r="AA18" s="104"/>
      <c r="AB18" s="94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94" t="s">
        <v>41</v>
      </c>
      <c r="R19" s="95">
        <f t="shared" si="6"/>
        <v>18</v>
      </c>
      <c r="S19" s="94"/>
      <c r="T19" s="94"/>
      <c r="U19" s="94" t="s">
        <v>29</v>
      </c>
      <c r="V19" s="95">
        <f t="shared" si="7"/>
        <v>18</v>
      </c>
      <c r="W19" s="94"/>
      <c r="X19" s="94"/>
      <c r="Y19" s="94" t="s">
        <v>42</v>
      </c>
      <c r="Z19" s="94">
        <f t="shared" si="3"/>
        <v>18</v>
      </c>
      <c r="AA19" s="94"/>
      <c r="AB19" s="94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94" t="s">
        <v>43</v>
      </c>
      <c r="R20" s="95">
        <f t="shared" si="6"/>
        <v>19</v>
      </c>
      <c r="S20" s="99"/>
      <c r="T20" s="94"/>
      <c r="U20" s="94" t="s">
        <v>40</v>
      </c>
      <c r="V20" s="95">
        <f t="shared" si="7"/>
        <v>19</v>
      </c>
      <c r="W20" s="94"/>
      <c r="X20" s="94"/>
      <c r="Y20" s="94" t="s">
        <v>31</v>
      </c>
      <c r="Z20" s="94">
        <f t="shared" si="3"/>
        <v>19</v>
      </c>
      <c r="AA20" s="94"/>
      <c r="AB20" s="100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2" t="s">
        <v>40</v>
      </c>
      <c r="J21" s="13">
        <f t="shared" si="4"/>
        <v>20</v>
      </c>
      <c r="K21" s="12"/>
      <c r="L21" s="12"/>
      <c r="M21" s="12" t="s">
        <v>41</v>
      </c>
      <c r="N21" s="13">
        <f t="shared" si="5"/>
        <v>20</v>
      </c>
      <c r="O21" s="14"/>
      <c r="P21" s="12"/>
      <c r="Q21" s="94" t="s">
        <v>44</v>
      </c>
      <c r="R21" s="95">
        <f t="shared" si="6"/>
        <v>20</v>
      </c>
      <c r="S21" s="94"/>
      <c r="T21" s="94"/>
      <c r="U21" s="94" t="s">
        <v>42</v>
      </c>
      <c r="V21" s="95">
        <f t="shared" si="7"/>
        <v>20</v>
      </c>
      <c r="W21" s="94"/>
      <c r="X21" s="94"/>
      <c r="Y21" s="94" t="s">
        <v>41</v>
      </c>
      <c r="Z21" s="94">
        <f t="shared" si="3"/>
        <v>20</v>
      </c>
      <c r="AA21" s="94"/>
      <c r="AB21" s="94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94" t="s">
        <v>29</v>
      </c>
      <c r="R22" s="94">
        <f t="shared" si="6"/>
        <v>21</v>
      </c>
      <c r="S22" s="99"/>
      <c r="T22" s="94"/>
      <c r="U22" s="94" t="s">
        <v>31</v>
      </c>
      <c r="V22" s="95">
        <f t="shared" si="7"/>
        <v>21</v>
      </c>
      <c r="W22" s="94"/>
      <c r="X22" s="94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7" t="s">
        <v>29</v>
      </c>
      <c r="B23" s="18">
        <f t="shared" si="1"/>
        <v>22</v>
      </c>
      <c r="C23" s="17"/>
      <c r="D23" s="17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94" t="s">
        <v>40</v>
      </c>
      <c r="R23" s="95">
        <f t="shared" si="6"/>
        <v>22</v>
      </c>
      <c r="S23" s="94"/>
      <c r="T23" s="94"/>
      <c r="U23" s="94" t="s">
        <v>41</v>
      </c>
      <c r="V23" s="95">
        <f t="shared" si="7"/>
        <v>22</v>
      </c>
      <c r="W23" s="94"/>
      <c r="X23" s="94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94" t="s">
        <v>42</v>
      </c>
      <c r="R24" s="94">
        <f t="shared" si="6"/>
        <v>23</v>
      </c>
      <c r="S24" s="94"/>
      <c r="T24" s="94"/>
      <c r="U24" s="94" t="s">
        <v>43</v>
      </c>
      <c r="V24" s="95">
        <f t="shared" si="7"/>
        <v>23</v>
      </c>
      <c r="W24" s="94"/>
      <c r="X24" s="94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94" t="s">
        <v>31</v>
      </c>
      <c r="R25" s="95">
        <f t="shared" si="6"/>
        <v>24</v>
      </c>
      <c r="S25" s="99"/>
      <c r="T25" s="94"/>
      <c r="U25" s="94" t="s">
        <v>44</v>
      </c>
      <c r="V25" s="95">
        <f t="shared" si="7"/>
        <v>24</v>
      </c>
      <c r="W25" s="104"/>
      <c r="X25" s="94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94" t="s">
        <v>41</v>
      </c>
      <c r="R26" s="95">
        <f t="shared" si="6"/>
        <v>25</v>
      </c>
      <c r="S26" s="94" t="s">
        <v>52</v>
      </c>
      <c r="T26" s="94"/>
      <c r="U26" s="94" t="s">
        <v>29</v>
      </c>
      <c r="V26" s="95">
        <f t="shared" si="7"/>
        <v>25</v>
      </c>
      <c r="W26" s="94"/>
      <c r="X26" s="94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94" t="s">
        <v>43</v>
      </c>
      <c r="R27" s="95">
        <f t="shared" si="6"/>
        <v>26</v>
      </c>
      <c r="S27" s="94"/>
      <c r="T27" s="94"/>
      <c r="U27" s="94" t="s">
        <v>40</v>
      </c>
      <c r="V27" s="95">
        <f t="shared" si="7"/>
        <v>26</v>
      </c>
      <c r="W27" s="94"/>
      <c r="X27" s="100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94" t="s">
        <v>44</v>
      </c>
      <c r="R28" s="95">
        <f t="shared" si="6"/>
        <v>27</v>
      </c>
      <c r="S28" s="94"/>
      <c r="T28" s="94"/>
      <c r="U28" s="94" t="s">
        <v>42</v>
      </c>
      <c r="V28" s="95">
        <f t="shared" si="7"/>
        <v>27</v>
      </c>
      <c r="W28" s="94"/>
      <c r="X28" s="94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94" t="s">
        <v>29</v>
      </c>
      <c r="R29" s="95">
        <f t="shared" si="6"/>
        <v>28</v>
      </c>
      <c r="S29" s="94"/>
      <c r="T29" s="94"/>
      <c r="U29" s="94" t="s">
        <v>31</v>
      </c>
      <c r="V29" s="95">
        <f t="shared" si="7"/>
        <v>28</v>
      </c>
      <c r="W29" s="94"/>
      <c r="X29" s="94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94" t="s">
        <v>40</v>
      </c>
      <c r="R30" s="95">
        <f t="shared" si="6"/>
        <v>29</v>
      </c>
      <c r="S30" s="94"/>
      <c r="T30" s="94"/>
      <c r="U30" s="94" t="s">
        <v>41</v>
      </c>
      <c r="V30" s="95">
        <f t="shared" si="7"/>
        <v>29</v>
      </c>
      <c r="W30" s="94"/>
      <c r="X30" s="94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94" t="s">
        <v>42</v>
      </c>
      <c r="R31" s="95">
        <f t="shared" si="6"/>
        <v>30</v>
      </c>
      <c r="S31" s="94"/>
      <c r="T31" s="94"/>
      <c r="U31" s="94" t="s">
        <v>43</v>
      </c>
      <c r="V31" s="95">
        <f t="shared" si="7"/>
        <v>30</v>
      </c>
      <c r="W31" s="94"/>
      <c r="X31" s="94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94" t="s">
        <v>31</v>
      </c>
      <c r="R32" s="95">
        <f t="shared" si="6"/>
        <v>31</v>
      </c>
      <c r="S32" s="94"/>
      <c r="T32" s="94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0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1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A40" s="14"/>
      <c r="B40" s="65"/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67"/>
      <c r="AW40" s="1"/>
    </row>
    <row r="41" spans="1:49">
      <c r="A41" s="14" t="s">
        <v>66</v>
      </c>
      <c r="B41" s="14"/>
      <c r="C41" s="14"/>
      <c r="D41" s="14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37817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9000000}"/>
  <mergeCells count="20">
    <mergeCell ref="AS1:AT1"/>
    <mergeCell ref="O22:P22"/>
    <mergeCell ref="A44:C44"/>
    <mergeCell ref="A45:D45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S5:T7"/>
    <mergeCell ref="A46:C46"/>
    <mergeCell ref="A47:C47"/>
    <mergeCell ref="E49:G49"/>
    <mergeCell ref="B60:E60"/>
    <mergeCell ref="AO1:AP1"/>
  </mergeCells>
  <pageMargins left="0.70866141732283505" right="0.70866141732283505" top="0.74803149606299202" bottom="0.74803149606299202" header="0.31496062992126" footer="0.31496062992126"/>
  <pageSetup paperSize="9" orientation="portrait" r:id="rId1"/>
  <headerFooter>
    <oddHeader>&amp;R&amp;A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60"/>
  <sheetViews>
    <sheetView showGridLines="0" zoomScale="80" zoomScaleNormal="80" workbookViewId="0">
      <selection activeCell="AE19" sqref="AE19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7" t="s">
        <v>40</v>
      </c>
      <c r="B3" s="18">
        <f t="shared" ref="B3:B32" si="1">+B2+1</f>
        <v>2</v>
      </c>
      <c r="C3" s="17"/>
      <c r="D3" s="17"/>
      <c r="E3" s="17" t="s">
        <v>41</v>
      </c>
      <c r="F3" s="18">
        <f t="shared" ref="F3:F29" si="2">+F2+1</f>
        <v>2</v>
      </c>
      <c r="G3" s="17"/>
      <c r="H3" s="17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7" t="s">
        <v>43</v>
      </c>
      <c r="F11" s="18">
        <f t="shared" si="2"/>
        <v>10</v>
      </c>
      <c r="G11" s="17"/>
      <c r="H11" s="17">
        <v>1</v>
      </c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17" t="s">
        <v>40</v>
      </c>
      <c r="R16" s="18">
        <f t="shared" si="6"/>
        <v>15</v>
      </c>
      <c r="S16" s="17"/>
      <c r="T16" s="17">
        <v>1</v>
      </c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2" t="s">
        <v>40</v>
      </c>
      <c r="J21" s="13">
        <f t="shared" si="4"/>
        <v>20</v>
      </c>
      <c r="K21" s="12"/>
      <c r="L21" s="12"/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17" t="s">
        <v>41</v>
      </c>
      <c r="R26" s="18">
        <f t="shared" si="6"/>
        <v>25</v>
      </c>
      <c r="S26" s="17" t="s">
        <v>52</v>
      </c>
      <c r="T26" s="17"/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7" t="s">
        <v>41</v>
      </c>
      <c r="V30" s="18">
        <f t="shared" si="7"/>
        <v>29</v>
      </c>
      <c r="W30" s="17"/>
      <c r="X30" s="199">
        <v>2</v>
      </c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7" t="s">
        <v>43</v>
      </c>
      <c r="V31" s="18">
        <f t="shared" si="7"/>
        <v>30</v>
      </c>
      <c r="W31" s="17"/>
      <c r="X31" s="200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1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2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-0.5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67"/>
      <c r="AW40" s="109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35220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A000000}"/>
  <mergeCells count="20">
    <mergeCell ref="AS1:AT1"/>
    <mergeCell ref="O22:P22"/>
    <mergeCell ref="A44:C44"/>
    <mergeCell ref="A45:D45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A46:C46"/>
    <mergeCell ref="A47:C47"/>
    <mergeCell ref="E49:G49"/>
    <mergeCell ref="B60:E60"/>
    <mergeCell ref="AO1:AP1"/>
    <mergeCell ref="X30:X31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X60"/>
  <sheetViews>
    <sheetView showGridLines="0" zoomScale="80" zoomScaleNormal="80" workbookViewId="0">
      <selection activeCell="W16" sqref="W16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7" t="s">
        <v>40</v>
      </c>
      <c r="B3" s="18">
        <f t="shared" ref="B3:B32" si="1">+B2+1</f>
        <v>2</v>
      </c>
      <c r="C3" s="17"/>
      <c r="D3" s="17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144" t="s">
        <v>41</v>
      </c>
      <c r="R5" s="144">
        <f>+R4+1</f>
        <v>4</v>
      </c>
      <c r="S5" s="201" t="s">
        <v>98</v>
      </c>
      <c r="T5" s="20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144" t="s">
        <v>43</v>
      </c>
      <c r="R6" s="145">
        <f>+R5+1</f>
        <v>5</v>
      </c>
      <c r="S6" s="144"/>
      <c r="T6" s="144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144" t="s">
        <v>44</v>
      </c>
      <c r="R7" s="145">
        <v>6</v>
      </c>
      <c r="S7" s="144"/>
      <c r="T7" s="144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144" t="s">
        <v>29</v>
      </c>
      <c r="R8" s="145">
        <f t="shared" ref="R8:R32" si="6">+R7+1</f>
        <v>7</v>
      </c>
      <c r="S8" s="144"/>
      <c r="T8" s="144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144" t="s">
        <v>40</v>
      </c>
      <c r="R9" s="145">
        <f t="shared" si="6"/>
        <v>8</v>
      </c>
      <c r="S9" s="144" t="s">
        <v>47</v>
      </c>
      <c r="T9" s="144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44" t="s">
        <v>42</v>
      </c>
      <c r="R10" s="145">
        <f t="shared" si="6"/>
        <v>9</v>
      </c>
      <c r="S10" s="144"/>
      <c r="T10" s="144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44" t="s">
        <v>31</v>
      </c>
      <c r="R11" s="145">
        <f t="shared" si="6"/>
        <v>10</v>
      </c>
      <c r="S11" s="144"/>
      <c r="T11" s="144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44" t="s">
        <v>41</v>
      </c>
      <c r="R12" s="145">
        <f t="shared" si="6"/>
        <v>11</v>
      </c>
      <c r="S12" s="144"/>
      <c r="T12" s="144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144" t="s">
        <v>43</v>
      </c>
      <c r="R13" s="144">
        <f t="shared" si="6"/>
        <v>12</v>
      </c>
      <c r="S13" s="144"/>
      <c r="T13" s="144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144" t="s">
        <v>44</v>
      </c>
      <c r="R14" s="145">
        <f t="shared" si="6"/>
        <v>13</v>
      </c>
      <c r="S14" s="144"/>
      <c r="T14" s="144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144" t="s">
        <v>29</v>
      </c>
      <c r="R15" s="145">
        <f t="shared" si="6"/>
        <v>14</v>
      </c>
      <c r="S15" s="144" t="s">
        <v>49</v>
      </c>
      <c r="T15" s="146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110" t="s">
        <v>40</v>
      </c>
      <c r="R16" s="111">
        <f t="shared" si="6"/>
        <v>15</v>
      </c>
      <c r="S16" s="110"/>
      <c r="T16" s="110">
        <v>1</v>
      </c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2" t="s">
        <v>40</v>
      </c>
      <c r="J21" s="13">
        <f t="shared" si="4"/>
        <v>20</v>
      </c>
      <c r="K21" s="12"/>
      <c r="L21" s="12"/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8" t="s">
        <v>41</v>
      </c>
      <c r="R26" s="9">
        <f t="shared" si="6"/>
        <v>25</v>
      </c>
      <c r="S26" s="8" t="s">
        <v>52</v>
      </c>
      <c r="T26" s="8"/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50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0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50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50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50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50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50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50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50" ht="22.5" customHeight="1"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67"/>
      <c r="AW40" s="109"/>
      <c r="AX40" s="14"/>
    </row>
    <row r="41" spans="1:50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50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50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50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50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50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50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50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45805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B000000}"/>
  <mergeCells count="20">
    <mergeCell ref="AS1:AT1"/>
    <mergeCell ref="O22:P22"/>
    <mergeCell ref="A44:C44"/>
    <mergeCell ref="A45:D45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A46:C46"/>
    <mergeCell ref="A47:C47"/>
    <mergeCell ref="E49:G49"/>
    <mergeCell ref="B60:E60"/>
    <mergeCell ref="AO1:AP1"/>
    <mergeCell ref="S5:T5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DB1A-D3BE-4557-A117-60A26BF1DBDA}">
  <dimension ref="A1:AX60"/>
  <sheetViews>
    <sheetView showGridLines="0" topLeftCell="A13" zoomScale="80" zoomScaleNormal="80" workbookViewId="0">
      <selection activeCell="Q21" sqref="Q21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151" t="s">
        <v>29</v>
      </c>
      <c r="B2" s="152">
        <v>1</v>
      </c>
      <c r="C2" s="151" t="s">
        <v>30</v>
      </c>
      <c r="D2" s="151"/>
      <c r="E2" s="151" t="s">
        <v>31</v>
      </c>
      <c r="F2" s="152">
        <f>+F1+1</f>
        <v>1</v>
      </c>
      <c r="G2" s="151"/>
      <c r="H2" s="151"/>
      <c r="I2" s="151" t="s">
        <v>31</v>
      </c>
      <c r="J2" s="152">
        <f>+J1+1</f>
        <v>1</v>
      </c>
      <c r="K2" s="151"/>
      <c r="L2" s="151"/>
      <c r="M2" s="151" t="s">
        <v>32</v>
      </c>
      <c r="N2" s="152">
        <f>+N1+1</f>
        <v>1</v>
      </c>
      <c r="O2" s="151"/>
      <c r="P2" s="151"/>
      <c r="Q2" s="151" t="s">
        <v>33</v>
      </c>
      <c r="R2" s="152">
        <v>1</v>
      </c>
      <c r="S2" s="151" t="s">
        <v>34</v>
      </c>
      <c r="T2" s="151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51" t="s">
        <v>40</v>
      </c>
      <c r="B3" s="152">
        <f t="shared" ref="B3:B32" si="1">+B2+1</f>
        <v>2</v>
      </c>
      <c r="C3" s="151"/>
      <c r="D3" s="151"/>
      <c r="E3" s="151" t="s">
        <v>41</v>
      </c>
      <c r="F3" s="152">
        <f t="shared" ref="F3:F29" si="2">+F2+1</f>
        <v>2</v>
      </c>
      <c r="G3" s="151"/>
      <c r="H3" s="151"/>
      <c r="I3" s="151" t="s">
        <v>41</v>
      </c>
      <c r="J3" s="152">
        <f>+J2+1</f>
        <v>2</v>
      </c>
      <c r="K3" s="151"/>
      <c r="L3" s="151"/>
      <c r="M3" s="151" t="s">
        <v>29</v>
      </c>
      <c r="N3" s="152">
        <f>+N2+1</f>
        <v>2</v>
      </c>
      <c r="O3" s="151"/>
      <c r="P3" s="151"/>
      <c r="Q3" s="151" t="s">
        <v>42</v>
      </c>
      <c r="R3" s="152">
        <f>+R2+1</f>
        <v>2</v>
      </c>
      <c r="S3" s="151"/>
      <c r="T3" s="151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51" t="s">
        <v>42</v>
      </c>
      <c r="B4" s="152">
        <f t="shared" si="1"/>
        <v>3</v>
      </c>
      <c r="C4" s="151"/>
      <c r="D4" s="151"/>
      <c r="E4" s="151" t="s">
        <v>43</v>
      </c>
      <c r="F4" s="152">
        <f t="shared" si="2"/>
        <v>3</v>
      </c>
      <c r="G4" s="151"/>
      <c r="H4" s="151"/>
      <c r="I4" s="151" t="s">
        <v>43</v>
      </c>
      <c r="J4" s="152">
        <f>+J3+1</f>
        <v>3</v>
      </c>
      <c r="K4" s="151"/>
      <c r="L4" s="151"/>
      <c r="M4" s="151" t="s">
        <v>40</v>
      </c>
      <c r="N4" s="152">
        <f>+N3+1</f>
        <v>3</v>
      </c>
      <c r="O4" s="151"/>
      <c r="P4" s="151"/>
      <c r="Q4" s="151" t="s">
        <v>31</v>
      </c>
      <c r="R4" s="152">
        <f>+R3+1</f>
        <v>3</v>
      </c>
      <c r="S4" s="151"/>
      <c r="T4" s="151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51" t="s">
        <v>31</v>
      </c>
      <c r="B5" s="152">
        <f t="shared" si="1"/>
        <v>4</v>
      </c>
      <c r="C5" s="151"/>
      <c r="D5" s="151"/>
      <c r="E5" s="151" t="s">
        <v>44</v>
      </c>
      <c r="F5" s="151">
        <f t="shared" si="2"/>
        <v>4</v>
      </c>
      <c r="G5" s="151"/>
      <c r="H5" s="151"/>
      <c r="I5" s="151" t="s">
        <v>44</v>
      </c>
      <c r="J5" s="152">
        <f>+J4+1</f>
        <v>4</v>
      </c>
      <c r="K5" s="151"/>
      <c r="L5" s="151"/>
      <c r="M5" s="151" t="s">
        <v>42</v>
      </c>
      <c r="N5" s="152">
        <f>+N4+1</f>
        <v>4</v>
      </c>
      <c r="O5" s="151"/>
      <c r="P5" s="151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51" t="s">
        <v>41</v>
      </c>
      <c r="B6" s="152">
        <f t="shared" si="1"/>
        <v>5</v>
      </c>
      <c r="C6" s="151"/>
      <c r="D6" s="151"/>
      <c r="E6" s="151" t="s">
        <v>29</v>
      </c>
      <c r="F6" s="151">
        <f t="shared" si="2"/>
        <v>5</v>
      </c>
      <c r="G6" s="151"/>
      <c r="H6" s="151"/>
      <c r="I6" s="151" t="s">
        <v>29</v>
      </c>
      <c r="J6" s="152">
        <f>+J5+1</f>
        <v>5</v>
      </c>
      <c r="K6" s="151"/>
      <c r="L6" s="153"/>
      <c r="M6" s="151" t="s">
        <v>31</v>
      </c>
      <c r="N6" s="152">
        <f>+N5+1</f>
        <v>5</v>
      </c>
      <c r="O6" s="154"/>
      <c r="P6" s="153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51" t="s">
        <v>43</v>
      </c>
      <c r="B7" s="152">
        <f t="shared" si="1"/>
        <v>6</v>
      </c>
      <c r="C7" s="151"/>
      <c r="D7" s="153"/>
      <c r="E7" s="151" t="s">
        <v>40</v>
      </c>
      <c r="F7" s="152">
        <f t="shared" si="2"/>
        <v>6</v>
      </c>
      <c r="G7" s="151"/>
      <c r="H7" s="153"/>
      <c r="I7" s="151" t="s">
        <v>40</v>
      </c>
      <c r="J7" s="152">
        <v>6</v>
      </c>
      <c r="K7" s="151"/>
      <c r="L7" s="151"/>
      <c r="M7" s="151" t="s">
        <v>41</v>
      </c>
      <c r="N7" s="152">
        <v>6</v>
      </c>
      <c r="O7" s="151" t="s">
        <v>46</v>
      </c>
      <c r="P7" s="151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51" t="s">
        <v>44</v>
      </c>
      <c r="B8" s="152">
        <f t="shared" si="1"/>
        <v>7</v>
      </c>
      <c r="C8" s="151"/>
      <c r="D8" s="151"/>
      <c r="E8" s="151" t="s">
        <v>42</v>
      </c>
      <c r="F8" s="152">
        <f t="shared" si="2"/>
        <v>7</v>
      </c>
      <c r="G8" s="151"/>
      <c r="H8" s="151"/>
      <c r="I8" s="151" t="s">
        <v>42</v>
      </c>
      <c r="J8" s="152">
        <f t="shared" ref="J8:J32" si="4">+J7+1</f>
        <v>7</v>
      </c>
      <c r="K8" s="151"/>
      <c r="L8" s="151"/>
      <c r="M8" s="151" t="s">
        <v>43</v>
      </c>
      <c r="N8" s="152">
        <f t="shared" ref="N8:N32" si="5">+N7+1</f>
        <v>7</v>
      </c>
      <c r="O8" s="151"/>
      <c r="P8" s="151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51" t="s">
        <v>29</v>
      </c>
      <c r="B9" s="152">
        <f t="shared" si="1"/>
        <v>8</v>
      </c>
      <c r="C9" s="155"/>
      <c r="D9" s="155"/>
      <c r="E9" s="151" t="s">
        <v>31</v>
      </c>
      <c r="F9" s="152">
        <f t="shared" si="2"/>
        <v>8</v>
      </c>
      <c r="G9" s="151"/>
      <c r="H9" s="151"/>
      <c r="I9" s="151" t="s">
        <v>31</v>
      </c>
      <c r="J9" s="152">
        <f t="shared" si="4"/>
        <v>8</v>
      </c>
      <c r="K9" s="151"/>
      <c r="L9" s="151"/>
      <c r="M9" s="151" t="s">
        <v>44</v>
      </c>
      <c r="N9" s="152">
        <f t="shared" si="5"/>
        <v>8</v>
      </c>
      <c r="O9" s="151"/>
      <c r="P9" s="151"/>
      <c r="Q9" s="8" t="s">
        <v>40</v>
      </c>
      <c r="R9" s="9">
        <f t="shared" si="6"/>
        <v>8</v>
      </c>
      <c r="S9" s="8" t="s">
        <v>47</v>
      </c>
      <c r="T9" s="8" t="s">
        <v>87</v>
      </c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51" t="s">
        <v>40</v>
      </c>
      <c r="B10" s="152">
        <f t="shared" si="1"/>
        <v>9</v>
      </c>
      <c r="C10" s="155"/>
      <c r="D10" s="155"/>
      <c r="E10" s="151" t="s">
        <v>41</v>
      </c>
      <c r="F10" s="152">
        <f t="shared" si="2"/>
        <v>9</v>
      </c>
      <c r="G10" s="156"/>
      <c r="H10" s="151"/>
      <c r="I10" s="151" t="s">
        <v>41</v>
      </c>
      <c r="J10" s="152">
        <f t="shared" si="4"/>
        <v>9</v>
      </c>
      <c r="K10" s="151"/>
      <c r="L10" s="151"/>
      <c r="M10" s="151" t="s">
        <v>29</v>
      </c>
      <c r="N10" s="152">
        <f t="shared" si="5"/>
        <v>9</v>
      </c>
      <c r="O10" s="151"/>
      <c r="P10" s="151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51" t="s">
        <v>42</v>
      </c>
      <c r="B11" s="152">
        <f t="shared" si="1"/>
        <v>10</v>
      </c>
      <c r="C11" s="155"/>
      <c r="D11" s="155"/>
      <c r="E11" s="151" t="s">
        <v>43</v>
      </c>
      <c r="F11" s="152">
        <f t="shared" si="2"/>
        <v>10</v>
      </c>
      <c r="G11" s="151"/>
      <c r="H11" s="151"/>
      <c r="I11" s="151" t="s">
        <v>43</v>
      </c>
      <c r="J11" s="152">
        <f t="shared" si="4"/>
        <v>10</v>
      </c>
      <c r="K11" s="156"/>
      <c r="L11" s="151"/>
      <c r="M11" s="151" t="s">
        <v>40</v>
      </c>
      <c r="N11" s="152">
        <f t="shared" si="5"/>
        <v>10</v>
      </c>
      <c r="O11" s="151"/>
      <c r="P11" s="151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51" t="s">
        <v>31</v>
      </c>
      <c r="B12" s="152">
        <f t="shared" si="1"/>
        <v>11</v>
      </c>
      <c r="C12" s="155"/>
      <c r="D12" s="155"/>
      <c r="E12" s="151" t="s">
        <v>44</v>
      </c>
      <c r="F12" s="151">
        <f t="shared" si="2"/>
        <v>11</v>
      </c>
      <c r="G12" s="151"/>
      <c r="H12" s="151"/>
      <c r="I12" s="151" t="s">
        <v>44</v>
      </c>
      <c r="J12" s="152">
        <f t="shared" si="4"/>
        <v>11</v>
      </c>
      <c r="K12" s="151"/>
      <c r="L12" s="151"/>
      <c r="M12" s="151" t="s">
        <v>42</v>
      </c>
      <c r="N12" s="152">
        <f t="shared" si="5"/>
        <v>11</v>
      </c>
      <c r="O12" s="151"/>
      <c r="P12" s="151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51" t="s">
        <v>41</v>
      </c>
      <c r="B13" s="152">
        <f t="shared" si="1"/>
        <v>12</v>
      </c>
      <c r="C13" s="155"/>
      <c r="D13" s="155"/>
      <c r="E13" s="151" t="s">
        <v>29</v>
      </c>
      <c r="F13" s="151">
        <f t="shared" si="2"/>
        <v>12</v>
      </c>
      <c r="G13" s="151"/>
      <c r="H13" s="151"/>
      <c r="I13" s="151" t="s">
        <v>29</v>
      </c>
      <c r="J13" s="152">
        <f t="shared" si="4"/>
        <v>12</v>
      </c>
      <c r="K13" s="151"/>
      <c r="L13" s="153"/>
      <c r="M13" s="151" t="s">
        <v>31</v>
      </c>
      <c r="N13" s="152">
        <f t="shared" si="5"/>
        <v>12</v>
      </c>
      <c r="O13" s="151"/>
      <c r="P13" s="153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51" t="s">
        <v>43</v>
      </c>
      <c r="B14" s="152">
        <f t="shared" si="1"/>
        <v>13</v>
      </c>
      <c r="C14" s="151"/>
      <c r="D14" s="151"/>
      <c r="E14" s="151" t="s">
        <v>40</v>
      </c>
      <c r="F14" s="152">
        <f t="shared" si="2"/>
        <v>13</v>
      </c>
      <c r="G14" s="151"/>
      <c r="H14" s="153"/>
      <c r="I14" s="151" t="s">
        <v>40</v>
      </c>
      <c r="J14" s="152">
        <f t="shared" si="4"/>
        <v>13</v>
      </c>
      <c r="K14" s="151"/>
      <c r="L14" s="151"/>
      <c r="M14" s="151" t="s">
        <v>41</v>
      </c>
      <c r="N14" s="152">
        <f t="shared" si="5"/>
        <v>13</v>
      </c>
      <c r="O14" s="154"/>
      <c r="P14" s="151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51" t="s">
        <v>44</v>
      </c>
      <c r="B15" s="152">
        <f t="shared" si="1"/>
        <v>14</v>
      </c>
      <c r="C15" s="151"/>
      <c r="D15" s="151"/>
      <c r="E15" s="151" t="s">
        <v>42</v>
      </c>
      <c r="F15" s="152">
        <f t="shared" si="2"/>
        <v>14</v>
      </c>
      <c r="G15" s="151"/>
      <c r="H15" s="151"/>
      <c r="I15" s="151" t="s">
        <v>42</v>
      </c>
      <c r="J15" s="152">
        <f t="shared" si="4"/>
        <v>14</v>
      </c>
      <c r="K15" s="151"/>
      <c r="L15" s="151"/>
      <c r="M15" s="151" t="s">
        <v>43</v>
      </c>
      <c r="N15" s="152">
        <f t="shared" si="5"/>
        <v>14</v>
      </c>
      <c r="O15" s="151"/>
      <c r="P15" s="151"/>
      <c r="Q15" s="8" t="s">
        <v>29</v>
      </c>
      <c r="R15" s="9">
        <f t="shared" si="6"/>
        <v>14</v>
      </c>
      <c r="S15" s="8" t="s">
        <v>49</v>
      </c>
      <c r="T15" s="39" t="s">
        <v>87</v>
      </c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51" t="s">
        <v>29</v>
      </c>
      <c r="B16" s="152">
        <f t="shared" si="1"/>
        <v>15</v>
      </c>
      <c r="C16" s="151"/>
      <c r="D16" s="151"/>
      <c r="E16" s="151" t="s">
        <v>31</v>
      </c>
      <c r="F16" s="152">
        <f t="shared" si="2"/>
        <v>15</v>
      </c>
      <c r="G16" s="151"/>
      <c r="H16" s="151"/>
      <c r="I16" s="151" t="s">
        <v>31</v>
      </c>
      <c r="J16" s="152">
        <f t="shared" si="4"/>
        <v>15</v>
      </c>
      <c r="K16" s="151"/>
      <c r="L16" s="151"/>
      <c r="M16" s="151" t="s">
        <v>44</v>
      </c>
      <c r="N16" s="152">
        <f t="shared" si="5"/>
        <v>15</v>
      </c>
      <c r="O16" s="151"/>
      <c r="P16" s="151"/>
      <c r="Q16" s="110" t="s">
        <v>40</v>
      </c>
      <c r="R16" s="111">
        <f t="shared" si="6"/>
        <v>15</v>
      </c>
      <c r="S16" s="110"/>
      <c r="T16" s="110"/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51" t="s">
        <v>40</v>
      </c>
      <c r="B17" s="152">
        <f t="shared" si="1"/>
        <v>16</v>
      </c>
      <c r="C17" s="151"/>
      <c r="D17" s="151"/>
      <c r="E17" s="151" t="s">
        <v>41</v>
      </c>
      <c r="F17" s="152">
        <f t="shared" si="2"/>
        <v>16</v>
      </c>
      <c r="G17" s="156"/>
      <c r="H17" s="151"/>
      <c r="I17" s="151" t="s">
        <v>41</v>
      </c>
      <c r="J17" s="152">
        <f t="shared" si="4"/>
        <v>16</v>
      </c>
      <c r="K17" s="151"/>
      <c r="L17" s="151"/>
      <c r="M17" s="151" t="s">
        <v>29</v>
      </c>
      <c r="N17" s="152">
        <f t="shared" si="5"/>
        <v>16</v>
      </c>
      <c r="O17" s="151"/>
      <c r="P17" s="151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51" t="s">
        <v>42</v>
      </c>
      <c r="B18" s="152">
        <f t="shared" si="1"/>
        <v>17</v>
      </c>
      <c r="C18" s="155"/>
      <c r="D18" s="155"/>
      <c r="E18" s="151" t="s">
        <v>43</v>
      </c>
      <c r="F18" s="152">
        <f t="shared" si="2"/>
        <v>17</v>
      </c>
      <c r="G18" s="151"/>
      <c r="H18" s="151"/>
      <c r="I18" s="151" t="s">
        <v>43</v>
      </c>
      <c r="J18" s="152">
        <f t="shared" si="4"/>
        <v>17</v>
      </c>
      <c r="K18" s="156"/>
      <c r="L18" s="151"/>
      <c r="M18" s="151" t="s">
        <v>40</v>
      </c>
      <c r="N18" s="152">
        <f t="shared" si="5"/>
        <v>17</v>
      </c>
      <c r="O18" s="156"/>
      <c r="P18" s="151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51" t="s">
        <v>31</v>
      </c>
      <c r="B19" s="152">
        <f t="shared" si="1"/>
        <v>18</v>
      </c>
      <c r="C19" s="155"/>
      <c r="D19" s="155"/>
      <c r="E19" s="151" t="s">
        <v>44</v>
      </c>
      <c r="F19" s="151">
        <f t="shared" si="2"/>
        <v>18</v>
      </c>
      <c r="G19" s="151"/>
      <c r="H19" s="151"/>
      <c r="I19" s="151" t="s">
        <v>44</v>
      </c>
      <c r="J19" s="152">
        <f t="shared" si="4"/>
        <v>18</v>
      </c>
      <c r="K19" s="151"/>
      <c r="L19" s="151"/>
      <c r="M19" s="151" t="s">
        <v>42</v>
      </c>
      <c r="N19" s="152">
        <f t="shared" si="5"/>
        <v>18</v>
      </c>
      <c r="O19" s="154"/>
      <c r="P19" s="151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51" t="s">
        <v>41</v>
      </c>
      <c r="B20" s="152">
        <f t="shared" si="1"/>
        <v>19</v>
      </c>
      <c r="C20" s="155"/>
      <c r="D20" s="155"/>
      <c r="E20" s="151" t="s">
        <v>29</v>
      </c>
      <c r="F20" s="151">
        <f t="shared" si="2"/>
        <v>19</v>
      </c>
      <c r="G20" s="151"/>
      <c r="H20" s="151"/>
      <c r="I20" s="151" t="s">
        <v>29</v>
      </c>
      <c r="J20" s="152">
        <f t="shared" si="4"/>
        <v>19</v>
      </c>
      <c r="K20" s="151"/>
      <c r="L20" s="153"/>
      <c r="M20" s="151" t="s">
        <v>31</v>
      </c>
      <c r="N20" s="152">
        <f t="shared" si="5"/>
        <v>19</v>
      </c>
      <c r="O20" s="151"/>
      <c r="P20" s="153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51" t="s">
        <v>43</v>
      </c>
      <c r="B21" s="152">
        <f t="shared" si="1"/>
        <v>20</v>
      </c>
      <c r="C21" s="151"/>
      <c r="D21" s="151"/>
      <c r="E21" s="151" t="s">
        <v>40</v>
      </c>
      <c r="F21" s="152">
        <f t="shared" si="2"/>
        <v>20</v>
      </c>
      <c r="G21" s="151"/>
      <c r="H21" s="153"/>
      <c r="I21" s="151" t="s">
        <v>40</v>
      </c>
      <c r="J21" s="152">
        <f t="shared" si="4"/>
        <v>20</v>
      </c>
      <c r="K21" s="151"/>
      <c r="L21" s="151"/>
      <c r="M21" s="151" t="s">
        <v>41</v>
      </c>
      <c r="N21" s="152">
        <f t="shared" si="5"/>
        <v>20</v>
      </c>
      <c r="O21" s="154"/>
      <c r="P21" s="151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51" t="s">
        <v>44</v>
      </c>
      <c r="B22" s="152">
        <f t="shared" si="1"/>
        <v>21</v>
      </c>
      <c r="C22" s="151"/>
      <c r="D22" s="151"/>
      <c r="E22" s="151" t="s">
        <v>42</v>
      </c>
      <c r="F22" s="152">
        <f t="shared" si="2"/>
        <v>21</v>
      </c>
      <c r="G22" s="151"/>
      <c r="H22" s="151"/>
      <c r="I22" s="151" t="s">
        <v>42</v>
      </c>
      <c r="J22" s="152">
        <f t="shared" si="4"/>
        <v>21</v>
      </c>
      <c r="K22" s="151"/>
      <c r="L22" s="151"/>
      <c r="M22" s="151" t="s">
        <v>43</v>
      </c>
      <c r="N22" s="152">
        <f t="shared" si="5"/>
        <v>21</v>
      </c>
      <c r="O22" s="151"/>
      <c r="P22" s="157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51" t="s">
        <v>29</v>
      </c>
      <c r="B23" s="152">
        <f t="shared" si="1"/>
        <v>22</v>
      </c>
      <c r="C23" s="151"/>
      <c r="D23" s="151"/>
      <c r="E23" s="151" t="s">
        <v>31</v>
      </c>
      <c r="F23" s="152">
        <f t="shared" si="2"/>
        <v>22</v>
      </c>
      <c r="G23" s="151"/>
      <c r="H23" s="151"/>
      <c r="I23" s="151" t="s">
        <v>31</v>
      </c>
      <c r="J23" s="152">
        <f t="shared" si="4"/>
        <v>22</v>
      </c>
      <c r="K23" s="151"/>
      <c r="L23" s="151"/>
      <c r="M23" s="151" t="s">
        <v>44</v>
      </c>
      <c r="N23" s="152">
        <f t="shared" si="5"/>
        <v>22</v>
      </c>
      <c r="O23" s="154"/>
      <c r="P23" s="151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51" t="s">
        <v>40</v>
      </c>
      <c r="B24" s="152">
        <f t="shared" si="1"/>
        <v>23</v>
      </c>
      <c r="C24" s="151"/>
      <c r="D24" s="151"/>
      <c r="E24" s="151" t="s">
        <v>41</v>
      </c>
      <c r="F24" s="152">
        <f t="shared" si="2"/>
        <v>23</v>
      </c>
      <c r="G24" s="156"/>
      <c r="H24" s="151"/>
      <c r="I24" s="151" t="s">
        <v>41</v>
      </c>
      <c r="J24" s="152">
        <f t="shared" si="4"/>
        <v>23</v>
      </c>
      <c r="K24" s="151"/>
      <c r="L24" s="151"/>
      <c r="M24" s="151" t="s">
        <v>29</v>
      </c>
      <c r="N24" s="152">
        <f t="shared" si="5"/>
        <v>23</v>
      </c>
      <c r="O24" s="151"/>
      <c r="P24" s="151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51" t="s">
        <v>42</v>
      </c>
      <c r="B25" s="152">
        <f t="shared" si="1"/>
        <v>24</v>
      </c>
      <c r="C25" s="151"/>
      <c r="D25" s="151"/>
      <c r="E25" s="151" t="s">
        <v>43</v>
      </c>
      <c r="F25" s="152">
        <f t="shared" si="2"/>
        <v>24</v>
      </c>
      <c r="G25" s="151"/>
      <c r="H25" s="151"/>
      <c r="I25" s="151" t="s">
        <v>43</v>
      </c>
      <c r="J25" s="152">
        <f t="shared" si="4"/>
        <v>24</v>
      </c>
      <c r="K25" s="156"/>
      <c r="L25" s="151"/>
      <c r="M25" s="151" t="s">
        <v>40</v>
      </c>
      <c r="N25" s="152">
        <f t="shared" si="5"/>
        <v>24</v>
      </c>
      <c r="O25" s="154"/>
      <c r="P25" s="151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51" t="s">
        <v>31</v>
      </c>
      <c r="B26" s="152">
        <f t="shared" si="1"/>
        <v>25</v>
      </c>
      <c r="C26" s="151"/>
      <c r="D26" s="151"/>
      <c r="E26" s="151" t="s">
        <v>44</v>
      </c>
      <c r="F26" s="151">
        <f t="shared" si="2"/>
        <v>25</v>
      </c>
      <c r="G26" s="151"/>
      <c r="H26" s="151"/>
      <c r="I26" s="151" t="s">
        <v>44</v>
      </c>
      <c r="J26" s="152">
        <f t="shared" si="4"/>
        <v>25</v>
      </c>
      <c r="K26" s="151"/>
      <c r="L26" s="151"/>
      <c r="M26" s="151" t="s">
        <v>42</v>
      </c>
      <c r="N26" s="152">
        <f t="shared" si="5"/>
        <v>25</v>
      </c>
      <c r="O26" s="151"/>
      <c r="P26" s="151"/>
      <c r="Q26" s="8" t="s">
        <v>41</v>
      </c>
      <c r="R26" s="9">
        <f t="shared" si="6"/>
        <v>25</v>
      </c>
      <c r="S26" s="8" t="s">
        <v>52</v>
      </c>
      <c r="T26" s="8"/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51" t="s">
        <v>41</v>
      </c>
      <c r="B27" s="152">
        <f t="shared" si="1"/>
        <v>26</v>
      </c>
      <c r="C27" s="151"/>
      <c r="D27" s="151"/>
      <c r="E27" s="151" t="s">
        <v>29</v>
      </c>
      <c r="F27" s="151">
        <f t="shared" si="2"/>
        <v>26</v>
      </c>
      <c r="G27" s="151"/>
      <c r="H27" s="151"/>
      <c r="I27" s="151" t="s">
        <v>29</v>
      </c>
      <c r="J27" s="152">
        <f t="shared" si="4"/>
        <v>26</v>
      </c>
      <c r="K27" s="151"/>
      <c r="L27" s="153"/>
      <c r="M27" s="151" t="s">
        <v>31</v>
      </c>
      <c r="N27" s="152">
        <f t="shared" si="5"/>
        <v>26</v>
      </c>
      <c r="O27" s="151"/>
      <c r="P27" s="153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51" t="s">
        <v>43</v>
      </c>
      <c r="B28" s="152">
        <f t="shared" si="1"/>
        <v>27</v>
      </c>
      <c r="C28" s="151"/>
      <c r="D28" s="151"/>
      <c r="E28" s="151" t="s">
        <v>40</v>
      </c>
      <c r="F28" s="152">
        <f t="shared" si="2"/>
        <v>27</v>
      </c>
      <c r="G28" s="151"/>
      <c r="H28" s="153"/>
      <c r="I28" s="151" t="s">
        <v>40</v>
      </c>
      <c r="J28" s="151">
        <f t="shared" si="4"/>
        <v>27</v>
      </c>
      <c r="K28" s="151" t="s">
        <v>45</v>
      </c>
      <c r="L28" s="153"/>
      <c r="M28" s="151" t="s">
        <v>41</v>
      </c>
      <c r="N28" s="151">
        <f t="shared" si="5"/>
        <v>27</v>
      </c>
      <c r="O28" s="151"/>
      <c r="P28" s="151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51" t="s">
        <v>44</v>
      </c>
      <c r="B29" s="152">
        <f t="shared" si="1"/>
        <v>28</v>
      </c>
      <c r="C29" s="151"/>
      <c r="D29" s="151"/>
      <c r="E29" s="151" t="s">
        <v>42</v>
      </c>
      <c r="F29" s="152">
        <f t="shared" si="2"/>
        <v>28</v>
      </c>
      <c r="G29" s="151"/>
      <c r="H29" s="151"/>
      <c r="I29" s="151" t="s">
        <v>42</v>
      </c>
      <c r="J29" s="152">
        <f t="shared" si="4"/>
        <v>28</v>
      </c>
      <c r="K29" s="151"/>
      <c r="L29" s="151"/>
      <c r="M29" s="151" t="s">
        <v>43</v>
      </c>
      <c r="N29" s="152">
        <f t="shared" si="5"/>
        <v>28</v>
      </c>
      <c r="O29" s="151"/>
      <c r="P29" s="151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51" t="s">
        <v>29</v>
      </c>
      <c r="B30" s="152">
        <f t="shared" si="1"/>
        <v>29</v>
      </c>
      <c r="C30" s="151"/>
      <c r="D30" s="151"/>
      <c r="E30" s="151"/>
      <c r="F30" s="152"/>
      <c r="G30" s="151"/>
      <c r="H30" s="151"/>
      <c r="I30" s="151" t="s">
        <v>31</v>
      </c>
      <c r="J30" s="152">
        <f t="shared" si="4"/>
        <v>29</v>
      </c>
      <c r="K30" s="151"/>
      <c r="L30" s="151"/>
      <c r="M30" s="151" t="s">
        <v>44</v>
      </c>
      <c r="N30" s="152">
        <f t="shared" si="5"/>
        <v>29</v>
      </c>
      <c r="O30" s="151"/>
      <c r="P30" s="151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51" t="s">
        <v>40</v>
      </c>
      <c r="B31" s="152">
        <f t="shared" si="1"/>
        <v>30</v>
      </c>
      <c r="C31" s="151"/>
      <c r="D31" s="151"/>
      <c r="E31" s="151"/>
      <c r="F31" s="152"/>
      <c r="G31" s="151"/>
      <c r="H31" s="151"/>
      <c r="I31" s="151" t="s">
        <v>41</v>
      </c>
      <c r="J31" s="152">
        <f t="shared" si="4"/>
        <v>30</v>
      </c>
      <c r="K31" s="151"/>
      <c r="L31" s="151"/>
      <c r="M31" s="151" t="s">
        <v>29</v>
      </c>
      <c r="N31" s="152">
        <f t="shared" si="5"/>
        <v>30</v>
      </c>
      <c r="O31" s="151"/>
      <c r="P31" s="151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51" t="s">
        <v>42</v>
      </c>
      <c r="B32" s="152">
        <f t="shared" si="1"/>
        <v>31</v>
      </c>
      <c r="C32" s="151"/>
      <c r="D32" s="151"/>
      <c r="E32" s="151"/>
      <c r="F32" s="152"/>
      <c r="G32" s="151"/>
      <c r="H32" s="151"/>
      <c r="I32" s="151" t="s">
        <v>43</v>
      </c>
      <c r="J32" s="152">
        <f t="shared" si="4"/>
        <v>31</v>
      </c>
      <c r="K32" s="151"/>
      <c r="L32" s="151"/>
      <c r="M32" s="151" t="s">
        <v>40</v>
      </c>
      <c r="N32" s="152">
        <f t="shared" si="5"/>
        <v>31</v>
      </c>
      <c r="O32" s="151"/>
      <c r="P32" s="151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0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 ht="14.4" thickBot="1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 thickBo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53"/>
      <c r="F40" s="2"/>
      <c r="G40" s="53"/>
      <c r="K40" s="53"/>
      <c r="N40" s="2"/>
      <c r="O40" s="53"/>
      <c r="S40" s="53"/>
      <c r="W40" s="53"/>
      <c r="Z40" s="2"/>
      <c r="AA40" s="53"/>
      <c r="AD40" s="2"/>
      <c r="AE40" s="53"/>
      <c r="AH40" s="2"/>
      <c r="AI40" s="53"/>
      <c r="AL40" s="2"/>
      <c r="AM40" s="53"/>
      <c r="AP40" s="2"/>
      <c r="AQ40" s="53"/>
      <c r="AT40" s="2"/>
      <c r="AU40" s="26"/>
      <c r="AV40" s="54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46146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1000000}"/>
  <mergeCells count="18">
    <mergeCell ref="AO1:AP1"/>
    <mergeCell ref="AS1:AT1"/>
    <mergeCell ref="A1:B1"/>
    <mergeCell ref="E1:F1"/>
    <mergeCell ref="I1:J1"/>
    <mergeCell ref="M1:N1"/>
    <mergeCell ref="Q1:R1"/>
    <mergeCell ref="U1:V1"/>
    <mergeCell ref="B60:E60"/>
    <mergeCell ref="Y1:Z1"/>
    <mergeCell ref="AC1:AD1"/>
    <mergeCell ref="AG1:AH1"/>
    <mergeCell ref="AK1:AL1"/>
    <mergeCell ref="A44:C44"/>
    <mergeCell ref="A45:D45"/>
    <mergeCell ref="A46:C46"/>
    <mergeCell ref="A47:C47"/>
    <mergeCell ref="E49:G49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X60"/>
  <sheetViews>
    <sheetView showGridLines="0" topLeftCell="A13" zoomScale="80" zoomScaleNormal="80" workbookViewId="0">
      <selection activeCell="T29" sqref="T29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7" t="s">
        <v>40</v>
      </c>
      <c r="B3" s="18">
        <f t="shared" ref="B3:B32" si="1">+B2+1</f>
        <v>2</v>
      </c>
      <c r="C3" s="17"/>
      <c r="D3" s="17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7" t="s">
        <v>29</v>
      </c>
      <c r="F6" s="17">
        <f t="shared" si="2"/>
        <v>5</v>
      </c>
      <c r="G6" s="17"/>
      <c r="H6" s="17">
        <v>1</v>
      </c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7" t="s">
        <v>40</v>
      </c>
      <c r="F7" s="18">
        <f t="shared" si="2"/>
        <v>6</v>
      </c>
      <c r="G7" s="17"/>
      <c r="H7" s="96">
        <v>1</v>
      </c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88" t="s">
        <v>40</v>
      </c>
      <c r="R16" s="114">
        <f t="shared" si="6"/>
        <v>15</v>
      </c>
      <c r="S16" s="179" t="s">
        <v>103</v>
      </c>
      <c r="T16" s="180"/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7" t="s">
        <v>40</v>
      </c>
      <c r="J21" s="18">
        <f t="shared" si="4"/>
        <v>20</v>
      </c>
      <c r="K21" s="17"/>
      <c r="L21" s="17">
        <v>1</v>
      </c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7" t="s">
        <v>40</v>
      </c>
      <c r="B24" s="18">
        <f t="shared" si="1"/>
        <v>23</v>
      </c>
      <c r="C24" s="17"/>
      <c r="D24" s="17">
        <v>1</v>
      </c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17" t="s">
        <v>41</v>
      </c>
      <c r="R26" s="18">
        <f t="shared" si="6"/>
        <v>25</v>
      </c>
      <c r="S26" s="17" t="s">
        <v>52</v>
      </c>
      <c r="T26" s="17">
        <v>1</v>
      </c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12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17" t="s">
        <v>44</v>
      </c>
      <c r="R28" s="18">
        <f t="shared" si="6"/>
        <v>27</v>
      </c>
      <c r="S28" s="17"/>
      <c r="T28" s="17">
        <v>1</v>
      </c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110" t="s">
        <v>29</v>
      </c>
      <c r="R29" s="111">
        <f t="shared" si="6"/>
        <v>28</v>
      </c>
      <c r="S29" s="110"/>
      <c r="T29" s="110">
        <v>1</v>
      </c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2</v>
      </c>
      <c r="I33" s="12" t="s">
        <v>54</v>
      </c>
      <c r="J33" s="13"/>
      <c r="K33" s="20">
        <f>SUM(K2:K32)</f>
        <v>0</v>
      </c>
      <c r="L33" s="20">
        <f>SUM(L2:L32)</f>
        <v>1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53"/>
      <c r="F40" s="2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54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43132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D000000}"/>
  <mergeCells count="20">
    <mergeCell ref="AS1:AT1"/>
    <mergeCell ref="O22:P22"/>
    <mergeCell ref="A44:C44"/>
    <mergeCell ref="A45:D45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A46:C46"/>
    <mergeCell ref="A47:C47"/>
    <mergeCell ref="E49:G49"/>
    <mergeCell ref="B60:E60"/>
    <mergeCell ref="AO1:AP1"/>
    <mergeCell ref="S16:T16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X60"/>
  <sheetViews>
    <sheetView showGridLines="0" topLeftCell="A19" zoomScale="80" zoomScaleNormal="80" workbookViewId="0">
      <selection activeCell="Y18" sqref="Y18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94" t="s">
        <v>31</v>
      </c>
      <c r="J2" s="95">
        <f>+J1+1</f>
        <v>1</v>
      </c>
      <c r="K2" s="209" t="s">
        <v>88</v>
      </c>
      <c r="L2" s="2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7" t="s">
        <v>40</v>
      </c>
      <c r="B3" s="18">
        <f t="shared" ref="B3:B32" si="1">+B2+1</f>
        <v>2</v>
      </c>
      <c r="C3" s="17"/>
      <c r="D3" s="17"/>
      <c r="E3" s="12" t="s">
        <v>41</v>
      </c>
      <c r="F3" s="13">
        <f t="shared" ref="F3:F29" si="2">+F2+1</f>
        <v>2</v>
      </c>
      <c r="G3" s="12"/>
      <c r="H3" s="12"/>
      <c r="I3" s="94" t="s">
        <v>41</v>
      </c>
      <c r="J3" s="95">
        <f>+J2+1</f>
        <v>2</v>
      </c>
      <c r="K3" s="211"/>
      <c r="L3" s="2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94" t="s">
        <v>43</v>
      </c>
      <c r="J4" s="95">
        <f>+J3+1</f>
        <v>3</v>
      </c>
      <c r="K4" s="211"/>
      <c r="L4" s="2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94" t="s">
        <v>44</v>
      </c>
      <c r="J5" s="95">
        <f>+J4+1</f>
        <v>4</v>
      </c>
      <c r="K5" s="211"/>
      <c r="L5" s="2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94" t="s">
        <v>29</v>
      </c>
      <c r="J6" s="95">
        <f>+J5+1</f>
        <v>5</v>
      </c>
      <c r="K6" s="211"/>
      <c r="L6" s="212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94" t="s">
        <v>40</v>
      </c>
      <c r="J7" s="95">
        <v>6</v>
      </c>
      <c r="K7" s="211"/>
      <c r="L7" s="2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94" t="s">
        <v>42</v>
      </c>
      <c r="J8" s="95">
        <f t="shared" ref="J8:J32" si="4">+J7+1</f>
        <v>7</v>
      </c>
      <c r="K8" s="211"/>
      <c r="L8" s="212"/>
      <c r="M8" s="12" t="s">
        <v>43</v>
      </c>
      <c r="N8" s="13">
        <f t="shared" ref="N8:N32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94" t="s">
        <v>31</v>
      </c>
      <c r="J9" s="95">
        <f t="shared" si="4"/>
        <v>8</v>
      </c>
      <c r="K9" s="211"/>
      <c r="L9" s="212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94" t="s">
        <v>41</v>
      </c>
      <c r="J10" s="95">
        <f t="shared" si="4"/>
        <v>9</v>
      </c>
      <c r="K10" s="211"/>
      <c r="L10" s="2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94" t="s">
        <v>43</v>
      </c>
      <c r="J11" s="95">
        <f t="shared" si="4"/>
        <v>10</v>
      </c>
      <c r="K11" s="211"/>
      <c r="L11" s="2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94" t="s">
        <v>44</v>
      </c>
      <c r="J12" s="95">
        <f t="shared" si="4"/>
        <v>11</v>
      </c>
      <c r="K12" s="211"/>
      <c r="L12" s="2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94" t="s">
        <v>29</v>
      </c>
      <c r="J13" s="95">
        <f t="shared" si="4"/>
        <v>12</v>
      </c>
      <c r="K13" s="211"/>
      <c r="L13" s="212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94" t="s">
        <v>40</v>
      </c>
      <c r="J14" s="95">
        <f t="shared" si="4"/>
        <v>13</v>
      </c>
      <c r="K14" s="211"/>
      <c r="L14" s="2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94" t="s">
        <v>42</v>
      </c>
      <c r="J15" s="95">
        <f t="shared" si="4"/>
        <v>14</v>
      </c>
      <c r="K15" s="211"/>
      <c r="L15" s="212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94" t="s">
        <v>31</v>
      </c>
      <c r="J16" s="95">
        <f t="shared" si="4"/>
        <v>15</v>
      </c>
      <c r="K16" s="213"/>
      <c r="L16" s="214"/>
      <c r="M16" s="12" t="s">
        <v>44</v>
      </c>
      <c r="N16" s="13">
        <f t="shared" si="5"/>
        <v>15</v>
      </c>
      <c r="O16" s="12"/>
      <c r="P16" s="12"/>
      <c r="Q16" s="17" t="s">
        <v>40</v>
      </c>
      <c r="R16" s="18">
        <f t="shared" si="6"/>
        <v>15</v>
      </c>
      <c r="S16" s="17"/>
      <c r="T16" s="17">
        <v>1</v>
      </c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91" t="s">
        <v>41</v>
      </c>
      <c r="F17" s="92">
        <f t="shared" si="2"/>
        <v>16</v>
      </c>
      <c r="G17" s="203" t="s">
        <v>89</v>
      </c>
      <c r="H17" s="204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91" t="s">
        <v>43</v>
      </c>
      <c r="F18" s="92">
        <f t="shared" si="2"/>
        <v>17</v>
      </c>
      <c r="G18" s="205"/>
      <c r="H18" s="206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91" t="s">
        <v>44</v>
      </c>
      <c r="F19" s="91">
        <f t="shared" si="2"/>
        <v>18</v>
      </c>
      <c r="G19" s="207"/>
      <c r="H19" s="208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17" t="s">
        <v>41</v>
      </c>
      <c r="R19" s="18">
        <f t="shared" si="6"/>
        <v>18</v>
      </c>
      <c r="S19" s="17"/>
      <c r="T19" s="17">
        <v>1</v>
      </c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94" t="s">
        <v>29</v>
      </c>
      <c r="F20" s="94">
        <f t="shared" si="2"/>
        <v>19</v>
      </c>
      <c r="G20" s="209" t="s">
        <v>90</v>
      </c>
      <c r="H20" s="210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17" t="s">
        <v>43</v>
      </c>
      <c r="R20" s="18">
        <f t="shared" si="6"/>
        <v>19</v>
      </c>
      <c r="S20" s="149"/>
      <c r="T20" s="17">
        <v>1</v>
      </c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94" t="s">
        <v>40</v>
      </c>
      <c r="F21" s="95">
        <f t="shared" si="2"/>
        <v>20</v>
      </c>
      <c r="G21" s="211"/>
      <c r="H21" s="212"/>
      <c r="I21" s="12" t="s">
        <v>40</v>
      </c>
      <c r="J21" s="13">
        <f t="shared" si="4"/>
        <v>20</v>
      </c>
      <c r="K21" s="12"/>
      <c r="L21" s="12"/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94" t="s">
        <v>42</v>
      </c>
      <c r="F22" s="95">
        <f t="shared" si="2"/>
        <v>21</v>
      </c>
      <c r="G22" s="211"/>
      <c r="H22" s="212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94" t="s">
        <v>31</v>
      </c>
      <c r="F23" s="95">
        <f t="shared" si="2"/>
        <v>22</v>
      </c>
      <c r="G23" s="211"/>
      <c r="H23" s="212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7" t="s">
        <v>40</v>
      </c>
      <c r="B24" s="18">
        <f t="shared" si="1"/>
        <v>23</v>
      </c>
      <c r="C24" s="17"/>
      <c r="D24" s="17">
        <v>1</v>
      </c>
      <c r="E24" s="94" t="s">
        <v>41</v>
      </c>
      <c r="F24" s="95">
        <f t="shared" si="2"/>
        <v>23</v>
      </c>
      <c r="G24" s="211"/>
      <c r="H24" s="2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94" t="s">
        <v>43</v>
      </c>
      <c r="F25" s="95">
        <f t="shared" si="2"/>
        <v>24</v>
      </c>
      <c r="G25" s="211"/>
      <c r="H25" s="2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94" t="s">
        <v>44</v>
      </c>
      <c r="F26" s="94">
        <f t="shared" si="2"/>
        <v>25</v>
      </c>
      <c r="G26" s="211"/>
      <c r="H26" s="212"/>
      <c r="I26" s="17" t="s">
        <v>44</v>
      </c>
      <c r="J26" s="18">
        <f t="shared" si="4"/>
        <v>25</v>
      </c>
      <c r="K26" s="17"/>
      <c r="L26" s="17"/>
      <c r="M26" s="10" t="s">
        <v>42</v>
      </c>
      <c r="N26" s="11">
        <f t="shared" si="5"/>
        <v>25</v>
      </c>
      <c r="O26" s="10"/>
      <c r="P26" s="10"/>
      <c r="Q26" s="8" t="s">
        <v>41</v>
      </c>
      <c r="R26" s="9">
        <f t="shared" si="6"/>
        <v>25</v>
      </c>
      <c r="S26" s="8" t="s">
        <v>52</v>
      </c>
      <c r="T26" s="8"/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94" t="s">
        <v>29</v>
      </c>
      <c r="F27" s="94">
        <f t="shared" si="2"/>
        <v>26</v>
      </c>
      <c r="G27" s="211"/>
      <c r="H27" s="2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94" t="s">
        <v>40</v>
      </c>
      <c r="F28" s="95">
        <f t="shared" si="2"/>
        <v>27</v>
      </c>
      <c r="G28" s="211"/>
      <c r="H28" s="212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94" t="s">
        <v>42</v>
      </c>
      <c r="F29" s="95">
        <f t="shared" si="2"/>
        <v>28</v>
      </c>
      <c r="G29" s="213"/>
      <c r="H29" s="214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77" t="s">
        <v>91</v>
      </c>
      <c r="P29" s="178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/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0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-2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54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40366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E000000}"/>
  <mergeCells count="23">
    <mergeCell ref="Q1:R1"/>
    <mergeCell ref="AO1:AP1"/>
    <mergeCell ref="AS1:AT1"/>
    <mergeCell ref="O22:P22"/>
    <mergeCell ref="U1:V1"/>
    <mergeCell ref="Y1:Z1"/>
    <mergeCell ref="AC1:AD1"/>
    <mergeCell ref="AG1:AH1"/>
    <mergeCell ref="AK1:AL1"/>
    <mergeCell ref="I1:J1"/>
    <mergeCell ref="A45:D45"/>
    <mergeCell ref="A46:C46"/>
    <mergeCell ref="O29:P29"/>
    <mergeCell ref="A44:C44"/>
    <mergeCell ref="G17:H19"/>
    <mergeCell ref="G20:H29"/>
    <mergeCell ref="K2:L16"/>
    <mergeCell ref="M1:N1"/>
    <mergeCell ref="A47:C47"/>
    <mergeCell ref="E49:G49"/>
    <mergeCell ref="B60:E60"/>
    <mergeCell ref="A1:B1"/>
    <mergeCell ref="E1:F1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X60"/>
  <sheetViews>
    <sheetView showGridLines="0" topLeftCell="A10" zoomScale="80" zoomScaleNormal="80" workbookViewId="0">
      <selection activeCell="Q28" sqref="Q28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94" t="s">
        <v>33</v>
      </c>
      <c r="R2" s="95">
        <v>1</v>
      </c>
      <c r="S2" s="215" t="s">
        <v>111</v>
      </c>
      <c r="T2" s="216"/>
      <c r="U2" s="94" t="s">
        <v>35</v>
      </c>
      <c r="V2" s="95">
        <f>+V1+1</f>
        <v>1</v>
      </c>
      <c r="W2" s="99"/>
      <c r="X2" s="94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7" t="s">
        <v>40</v>
      </c>
      <c r="B3" s="18">
        <f t="shared" ref="B3:B32" si="1">+B2+1</f>
        <v>2</v>
      </c>
      <c r="C3" s="17"/>
      <c r="D3" s="17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94" t="s">
        <v>42</v>
      </c>
      <c r="R3" s="95">
        <f>+R2+1</f>
        <v>2</v>
      </c>
      <c r="S3" s="217"/>
      <c r="T3" s="218"/>
      <c r="U3" s="94" t="s">
        <v>43</v>
      </c>
      <c r="V3" s="95">
        <f>+V2+1</f>
        <v>2</v>
      </c>
      <c r="W3" s="94"/>
      <c r="X3" s="94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94" t="s">
        <v>31</v>
      </c>
      <c r="R4" s="95">
        <f>+R3+1</f>
        <v>3</v>
      </c>
      <c r="S4" s="217"/>
      <c r="T4" s="218"/>
      <c r="U4" s="94" t="s">
        <v>44</v>
      </c>
      <c r="V4" s="95">
        <f>+V3+1</f>
        <v>3</v>
      </c>
      <c r="W4" s="95"/>
      <c r="X4" s="95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94" t="s">
        <v>41</v>
      </c>
      <c r="R5" s="94">
        <f>+R4+1</f>
        <v>4</v>
      </c>
      <c r="S5" s="217"/>
      <c r="T5" s="218"/>
      <c r="U5" s="94" t="s">
        <v>29</v>
      </c>
      <c r="V5" s="95">
        <f>+V4+1</f>
        <v>4</v>
      </c>
      <c r="W5" s="94"/>
      <c r="X5" s="94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94" t="s">
        <v>43</v>
      </c>
      <c r="R6" s="95">
        <f>+R5+1</f>
        <v>5</v>
      </c>
      <c r="S6" s="217"/>
      <c r="T6" s="218"/>
      <c r="U6" s="94" t="s">
        <v>40</v>
      </c>
      <c r="V6" s="95">
        <f>+V5+1</f>
        <v>5</v>
      </c>
      <c r="W6" s="94"/>
      <c r="X6" s="94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94" t="s">
        <v>44</v>
      </c>
      <c r="R7" s="95">
        <v>6</v>
      </c>
      <c r="S7" s="217"/>
      <c r="T7" s="218"/>
      <c r="U7" s="94" t="s">
        <v>42</v>
      </c>
      <c r="V7" s="95">
        <v>6</v>
      </c>
      <c r="W7" s="94"/>
      <c r="X7" s="94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1" si="5">+N7+1</f>
        <v>7</v>
      </c>
      <c r="O8" s="12"/>
      <c r="P8" s="12"/>
      <c r="Q8" s="94" t="s">
        <v>29</v>
      </c>
      <c r="R8" s="95">
        <f t="shared" ref="R8:R32" si="6">+R7+1</f>
        <v>7</v>
      </c>
      <c r="S8" s="217"/>
      <c r="T8" s="218"/>
      <c r="U8" s="94" t="s">
        <v>31</v>
      </c>
      <c r="V8" s="95">
        <f t="shared" ref="V8:V31" si="7">+V7+1</f>
        <v>7</v>
      </c>
      <c r="W8" s="94"/>
      <c r="X8" s="94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94" t="s">
        <v>40</v>
      </c>
      <c r="R9" s="95">
        <f t="shared" si="6"/>
        <v>8</v>
      </c>
      <c r="S9" s="217"/>
      <c r="T9" s="218"/>
      <c r="U9" s="94" t="s">
        <v>41</v>
      </c>
      <c r="V9" s="95">
        <f t="shared" si="7"/>
        <v>8</v>
      </c>
      <c r="W9" s="94"/>
      <c r="X9" s="94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94" t="s">
        <v>42</v>
      </c>
      <c r="R10" s="95">
        <f t="shared" si="6"/>
        <v>9</v>
      </c>
      <c r="S10" s="217"/>
      <c r="T10" s="218"/>
      <c r="U10" s="94" t="s">
        <v>43</v>
      </c>
      <c r="V10" s="95">
        <f t="shared" si="7"/>
        <v>9</v>
      </c>
      <c r="W10" s="94"/>
      <c r="X10" s="94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94" t="s">
        <v>31</v>
      </c>
      <c r="R11" s="95">
        <f t="shared" si="6"/>
        <v>10</v>
      </c>
      <c r="S11" s="217"/>
      <c r="T11" s="218"/>
      <c r="U11" s="94" t="s">
        <v>44</v>
      </c>
      <c r="V11" s="95">
        <f t="shared" si="7"/>
        <v>10</v>
      </c>
      <c r="W11" s="94"/>
      <c r="X11" s="94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94" t="s">
        <v>41</v>
      </c>
      <c r="R12" s="95">
        <f t="shared" si="6"/>
        <v>11</v>
      </c>
      <c r="S12" s="217"/>
      <c r="T12" s="218"/>
      <c r="U12" s="94" t="s">
        <v>29</v>
      </c>
      <c r="V12" s="95">
        <f t="shared" si="7"/>
        <v>11</v>
      </c>
      <c r="W12" s="94"/>
      <c r="X12" s="94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91" t="s">
        <v>29</v>
      </c>
      <c r="F13" s="91">
        <f t="shared" si="2"/>
        <v>12</v>
      </c>
      <c r="G13" s="223" t="s">
        <v>92</v>
      </c>
      <c r="H13" s="224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94" t="s">
        <v>43</v>
      </c>
      <c r="R13" s="94">
        <f t="shared" si="6"/>
        <v>12</v>
      </c>
      <c r="S13" s="217"/>
      <c r="T13" s="218"/>
      <c r="U13" s="94" t="s">
        <v>40</v>
      </c>
      <c r="V13" s="95">
        <f t="shared" si="7"/>
        <v>12</v>
      </c>
      <c r="W13" s="94"/>
      <c r="X13" s="94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91" t="s">
        <v>40</v>
      </c>
      <c r="F14" s="92">
        <f t="shared" si="2"/>
        <v>13</v>
      </c>
      <c r="G14" s="225"/>
      <c r="H14" s="226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94" t="s">
        <v>44</v>
      </c>
      <c r="R14" s="95">
        <f t="shared" si="6"/>
        <v>13</v>
      </c>
      <c r="S14" s="217"/>
      <c r="T14" s="218"/>
      <c r="U14" s="94" t="s">
        <v>42</v>
      </c>
      <c r="V14" s="95">
        <f t="shared" si="7"/>
        <v>13</v>
      </c>
      <c r="W14" s="94"/>
      <c r="X14" s="94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94" t="s">
        <v>29</v>
      </c>
      <c r="R15" s="95">
        <f t="shared" si="6"/>
        <v>14</v>
      </c>
      <c r="S15" s="217"/>
      <c r="T15" s="218"/>
      <c r="U15" s="94" t="s">
        <v>31</v>
      </c>
      <c r="V15" s="95">
        <f t="shared" si="7"/>
        <v>14</v>
      </c>
      <c r="W15" s="94"/>
      <c r="X15" s="94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94" t="s">
        <v>40</v>
      </c>
      <c r="R16" s="95">
        <f t="shared" si="6"/>
        <v>15</v>
      </c>
      <c r="S16" s="217"/>
      <c r="T16" s="218"/>
      <c r="U16" s="94" t="s">
        <v>41</v>
      </c>
      <c r="V16" s="95">
        <f t="shared" si="7"/>
        <v>15</v>
      </c>
      <c r="W16" s="94"/>
      <c r="X16" s="94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94" t="s">
        <v>42</v>
      </c>
      <c r="R17" s="95">
        <f t="shared" si="6"/>
        <v>16</v>
      </c>
      <c r="S17" s="217"/>
      <c r="T17" s="218"/>
      <c r="U17" s="94" t="s">
        <v>43</v>
      </c>
      <c r="V17" s="95">
        <f t="shared" si="7"/>
        <v>16</v>
      </c>
      <c r="W17" s="94"/>
      <c r="X17" s="94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94" t="s">
        <v>31</v>
      </c>
      <c r="R18" s="95">
        <f t="shared" si="6"/>
        <v>17</v>
      </c>
      <c r="S18" s="217"/>
      <c r="T18" s="218"/>
      <c r="U18" s="94" t="s">
        <v>44</v>
      </c>
      <c r="V18" s="95">
        <f t="shared" si="7"/>
        <v>17</v>
      </c>
      <c r="W18" s="104"/>
      <c r="X18" s="94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94" t="s">
        <v>41</v>
      </c>
      <c r="R19" s="95">
        <f t="shared" si="6"/>
        <v>18</v>
      </c>
      <c r="S19" s="217"/>
      <c r="T19" s="218"/>
      <c r="U19" s="94" t="s">
        <v>29</v>
      </c>
      <c r="V19" s="95">
        <f t="shared" si="7"/>
        <v>18</v>
      </c>
      <c r="W19" s="94"/>
      <c r="X19" s="94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94" t="s">
        <v>43</v>
      </c>
      <c r="R20" s="95">
        <f t="shared" si="6"/>
        <v>19</v>
      </c>
      <c r="S20" s="217"/>
      <c r="T20" s="218"/>
      <c r="U20" s="94" t="s">
        <v>40</v>
      </c>
      <c r="V20" s="95">
        <f t="shared" si="7"/>
        <v>19</v>
      </c>
      <c r="W20" s="94"/>
      <c r="X20" s="94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7" t="s">
        <v>40</v>
      </c>
      <c r="F21" s="18">
        <f t="shared" si="2"/>
        <v>20</v>
      </c>
      <c r="G21" s="17"/>
      <c r="H21" s="93">
        <v>1</v>
      </c>
      <c r="I21" s="12" t="s">
        <v>40</v>
      </c>
      <c r="J21" s="13">
        <f t="shared" si="4"/>
        <v>20</v>
      </c>
      <c r="K21" s="12"/>
      <c r="L21" s="12"/>
      <c r="M21" s="12" t="s">
        <v>41</v>
      </c>
      <c r="N21" s="13">
        <f t="shared" si="5"/>
        <v>20</v>
      </c>
      <c r="O21" s="14"/>
      <c r="P21" s="12"/>
      <c r="Q21" s="94" t="s">
        <v>44</v>
      </c>
      <c r="R21" s="95">
        <f t="shared" si="6"/>
        <v>20</v>
      </c>
      <c r="S21" s="217"/>
      <c r="T21" s="218"/>
      <c r="U21" s="94" t="s">
        <v>42</v>
      </c>
      <c r="V21" s="95">
        <f t="shared" si="7"/>
        <v>20</v>
      </c>
      <c r="W21" s="94"/>
      <c r="X21" s="94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94" t="s">
        <v>29</v>
      </c>
      <c r="R22" s="94">
        <f t="shared" si="6"/>
        <v>21</v>
      </c>
      <c r="S22" s="217"/>
      <c r="T22" s="218"/>
      <c r="U22" s="94" t="s">
        <v>31</v>
      </c>
      <c r="V22" s="95">
        <f t="shared" si="7"/>
        <v>21</v>
      </c>
      <c r="W22" s="94"/>
      <c r="X22" s="94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94" t="s">
        <v>40</v>
      </c>
      <c r="R23" s="95">
        <f t="shared" si="6"/>
        <v>22</v>
      </c>
      <c r="S23" s="217"/>
      <c r="T23" s="218"/>
      <c r="U23" s="94" t="s">
        <v>41</v>
      </c>
      <c r="V23" s="95">
        <f t="shared" si="7"/>
        <v>22</v>
      </c>
      <c r="W23" s="94"/>
      <c r="X23" s="94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94" t="s">
        <v>42</v>
      </c>
      <c r="R24" s="94">
        <f t="shared" si="6"/>
        <v>23</v>
      </c>
      <c r="S24" s="217"/>
      <c r="T24" s="218"/>
      <c r="U24" s="94" t="s">
        <v>43</v>
      </c>
      <c r="V24" s="95">
        <f t="shared" si="7"/>
        <v>23</v>
      </c>
      <c r="W24" s="94"/>
      <c r="X24" s="94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94" t="s">
        <v>31</v>
      </c>
      <c r="R25" s="95">
        <f t="shared" si="6"/>
        <v>24</v>
      </c>
      <c r="S25" s="217"/>
      <c r="T25" s="218"/>
      <c r="U25" s="94" t="s">
        <v>44</v>
      </c>
      <c r="V25" s="95">
        <f t="shared" si="7"/>
        <v>24</v>
      </c>
      <c r="W25" s="104"/>
      <c r="X25" s="94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94" t="s">
        <v>41</v>
      </c>
      <c r="R26" s="95">
        <f t="shared" si="6"/>
        <v>25</v>
      </c>
      <c r="S26" s="217"/>
      <c r="T26" s="218"/>
      <c r="U26" s="94" t="s">
        <v>29</v>
      </c>
      <c r="V26" s="95">
        <f t="shared" si="7"/>
        <v>25</v>
      </c>
      <c r="W26" s="94"/>
      <c r="X26" s="94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94" t="s">
        <v>43</v>
      </c>
      <c r="R27" s="95">
        <f t="shared" si="6"/>
        <v>26</v>
      </c>
      <c r="S27" s="217"/>
      <c r="T27" s="218"/>
      <c r="U27" s="94" t="s">
        <v>40</v>
      </c>
      <c r="V27" s="95">
        <f t="shared" si="7"/>
        <v>26</v>
      </c>
      <c r="W27" s="94"/>
      <c r="X27" s="100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94" t="s">
        <v>41</v>
      </c>
      <c r="N28" s="94">
        <f t="shared" si="5"/>
        <v>27</v>
      </c>
      <c r="O28" s="193" t="s">
        <v>97</v>
      </c>
      <c r="P28" s="194"/>
      <c r="Q28" s="94" t="s">
        <v>44</v>
      </c>
      <c r="R28" s="95">
        <f t="shared" si="6"/>
        <v>27</v>
      </c>
      <c r="S28" s="217"/>
      <c r="T28" s="218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94" t="s">
        <v>43</v>
      </c>
      <c r="N29" s="95">
        <f t="shared" si="5"/>
        <v>28</v>
      </c>
      <c r="O29" s="195"/>
      <c r="P29" s="196"/>
      <c r="Q29" s="94" t="s">
        <v>29</v>
      </c>
      <c r="R29" s="95">
        <f t="shared" si="6"/>
        <v>28</v>
      </c>
      <c r="S29" s="217"/>
      <c r="T29" s="218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94" t="s">
        <v>44</v>
      </c>
      <c r="N30" s="95">
        <f t="shared" si="5"/>
        <v>29</v>
      </c>
      <c r="O30" s="197"/>
      <c r="P30" s="198"/>
      <c r="Q30" s="94" t="s">
        <v>40</v>
      </c>
      <c r="R30" s="95">
        <f t="shared" si="6"/>
        <v>29</v>
      </c>
      <c r="S30" s="217"/>
      <c r="T30" s="218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94" t="s">
        <v>29</v>
      </c>
      <c r="N31" s="95">
        <f t="shared" si="5"/>
        <v>30</v>
      </c>
      <c r="O31" s="221" t="s">
        <v>112</v>
      </c>
      <c r="P31" s="222"/>
      <c r="Q31" s="94" t="s">
        <v>42</v>
      </c>
      <c r="R31" s="95">
        <f t="shared" si="6"/>
        <v>30</v>
      </c>
      <c r="S31" s="219"/>
      <c r="T31" s="220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/>
      <c r="N32" s="13"/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1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67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37865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F000000}"/>
  <mergeCells count="23">
    <mergeCell ref="Q1:R1"/>
    <mergeCell ref="O28:P30"/>
    <mergeCell ref="B60:E60"/>
    <mergeCell ref="G13:H14"/>
    <mergeCell ref="AO1:AP1"/>
    <mergeCell ref="AS1:AT1"/>
    <mergeCell ref="O22:P22"/>
    <mergeCell ref="A44:C44"/>
    <mergeCell ref="A45:D45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S2:T31"/>
    <mergeCell ref="O31:P31"/>
    <mergeCell ref="A46:C46"/>
    <mergeCell ref="A47:C47"/>
    <mergeCell ref="E49:G49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X60"/>
  <sheetViews>
    <sheetView showGridLines="0" zoomScale="80" zoomScaleNormal="80" workbookViewId="0">
      <selection activeCell="G42" sqref="G42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10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9.109375" style="3" customWidth="1"/>
    <col min="12" max="12" width="8.109375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2" t="s">
        <v>40</v>
      </c>
      <c r="B3" s="13">
        <f t="shared" ref="B3:B32" si="1">+B2+1</f>
        <v>2</v>
      </c>
      <c r="C3" s="12"/>
      <c r="D3" s="12">
        <v>1</v>
      </c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17" t="s">
        <v>40</v>
      </c>
      <c r="R16" s="18">
        <f t="shared" si="6"/>
        <v>15</v>
      </c>
      <c r="S16" s="17"/>
      <c r="T16" s="17">
        <v>1</v>
      </c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147" t="s">
        <v>41</v>
      </c>
      <c r="R19" s="148">
        <f t="shared" si="6"/>
        <v>18</v>
      </c>
      <c r="S19" s="147">
        <v>-7.5</v>
      </c>
      <c r="T19" s="147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7" t="s">
        <v>40</v>
      </c>
      <c r="J21" s="18">
        <f t="shared" si="4"/>
        <v>20</v>
      </c>
      <c r="K21" s="17"/>
      <c r="L21" s="17">
        <v>1</v>
      </c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8" t="s">
        <v>41</v>
      </c>
      <c r="R26" s="9">
        <f t="shared" si="6"/>
        <v>25</v>
      </c>
      <c r="S26" s="8" t="s">
        <v>52</v>
      </c>
      <c r="T26" s="8"/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0</v>
      </c>
      <c r="I33" s="12" t="s">
        <v>54</v>
      </c>
      <c r="J33" s="13"/>
      <c r="K33" s="20">
        <f>SUM(K2:K32)</f>
        <v>0</v>
      </c>
      <c r="L33" s="20">
        <f>SUM(L2:L32)</f>
        <v>1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-7.5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67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44892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10000000}"/>
  <mergeCells count="19">
    <mergeCell ref="AS1:AT1"/>
    <mergeCell ref="O22:P22"/>
    <mergeCell ref="A44:C44"/>
    <mergeCell ref="A45:D45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A46:C46"/>
    <mergeCell ref="A47:C47"/>
    <mergeCell ref="E49:G49"/>
    <mergeCell ref="B60:E60"/>
    <mergeCell ref="AO1:AP1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X60"/>
  <sheetViews>
    <sheetView showGridLines="0" topLeftCell="A13" zoomScale="80" zoomScaleNormal="80" workbookViewId="0">
      <selection activeCell="AC43" sqref="AC43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7" t="s">
        <v>40</v>
      </c>
      <c r="B3" s="18">
        <f t="shared" ref="B3:B32" si="1">+B2+1</f>
        <v>2</v>
      </c>
      <c r="C3" s="17"/>
      <c r="D3" s="17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88" t="s">
        <v>40</v>
      </c>
      <c r="R16" s="114">
        <f t="shared" si="6"/>
        <v>15</v>
      </c>
      <c r="S16" s="179" t="s">
        <v>104</v>
      </c>
      <c r="T16" s="180"/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91" t="s">
        <v>29</v>
      </c>
      <c r="J20" s="92">
        <f t="shared" si="4"/>
        <v>19</v>
      </c>
      <c r="K20" s="223" t="s">
        <v>93</v>
      </c>
      <c r="L20" s="224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91" t="s">
        <v>40</v>
      </c>
      <c r="J21" s="92">
        <f t="shared" si="4"/>
        <v>20</v>
      </c>
      <c r="K21" s="225"/>
      <c r="L21" s="226"/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82" t="s">
        <v>41</v>
      </c>
      <c r="R26" s="113">
        <f t="shared" si="6"/>
        <v>25</v>
      </c>
      <c r="S26" s="82">
        <v>-7</v>
      </c>
      <c r="T26" s="82" t="s">
        <v>110</v>
      </c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7" t="s">
        <v>41</v>
      </c>
      <c r="J31" s="18">
        <f t="shared" si="4"/>
        <v>30</v>
      </c>
      <c r="K31" s="17"/>
      <c r="L31" s="17">
        <v>1</v>
      </c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0</v>
      </c>
      <c r="I33" s="12" t="s">
        <v>54</v>
      </c>
      <c r="J33" s="13"/>
      <c r="K33" s="20">
        <f>SUM(K2:K32)</f>
        <v>0</v>
      </c>
      <c r="L33" s="20">
        <f>SUM(L2:L32)</f>
        <v>1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-7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11.68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54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41764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11000000}"/>
  <mergeCells count="21">
    <mergeCell ref="AO1:AP1"/>
    <mergeCell ref="AS1:AT1"/>
    <mergeCell ref="O22:P22"/>
    <mergeCell ref="A44:C44"/>
    <mergeCell ref="A45:D45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S16:T16"/>
    <mergeCell ref="A46:C46"/>
    <mergeCell ref="A47:C47"/>
    <mergeCell ref="E49:G49"/>
    <mergeCell ref="B60:E60"/>
    <mergeCell ref="K20:L21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X60"/>
  <sheetViews>
    <sheetView showGridLines="0" zoomScale="80" zoomScaleNormal="80" workbookViewId="0">
      <selection activeCell="M38" sqref="M38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10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7" t="s">
        <v>40</v>
      </c>
      <c r="B3" s="18">
        <f t="shared" ref="B3:B32" si="1">+B2+1</f>
        <v>2</v>
      </c>
      <c r="C3" s="17"/>
      <c r="D3" s="17">
        <v>1</v>
      </c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23" t="s">
        <v>40</v>
      </c>
      <c r="R16" s="13">
        <f t="shared" si="6"/>
        <v>15</v>
      </c>
      <c r="S16" s="12"/>
      <c r="T16" s="12"/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2" t="s">
        <v>40</v>
      </c>
      <c r="J21" s="13">
        <f t="shared" si="4"/>
        <v>20</v>
      </c>
      <c r="K21" s="12"/>
      <c r="L21" s="12"/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7" t="s">
        <v>29</v>
      </c>
      <c r="B23" s="18">
        <f t="shared" si="1"/>
        <v>22</v>
      </c>
      <c r="C23" s="17" t="s">
        <v>94</v>
      </c>
      <c r="D23" s="17">
        <v>1</v>
      </c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8" t="s">
        <v>41</v>
      </c>
      <c r="R26" s="9">
        <f t="shared" si="6"/>
        <v>25</v>
      </c>
      <c r="S26" s="8" t="s">
        <v>52</v>
      </c>
      <c r="T26" s="8"/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0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A40" s="14"/>
      <c r="B40" s="65"/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67"/>
      <c r="AW40" s="1"/>
    </row>
    <row r="41" spans="1:49">
      <c r="A41" s="14" t="s">
        <v>66</v>
      </c>
      <c r="B41" s="14"/>
      <c r="C41" s="14"/>
      <c r="D41" s="14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A42" s="14"/>
      <c r="B42" s="14"/>
      <c r="C42" s="14"/>
      <c r="D42" s="14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12" t="s">
        <v>67</v>
      </c>
      <c r="B43" s="12"/>
      <c r="C43" s="12"/>
      <c r="D43" s="12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72" t="s">
        <v>68</v>
      </c>
      <c r="B44" s="173"/>
      <c r="C44" s="174"/>
      <c r="D44" s="12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44892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12000000}"/>
  <mergeCells count="19">
    <mergeCell ref="AS1:AT1"/>
    <mergeCell ref="O22:P22"/>
    <mergeCell ref="A44:C44"/>
    <mergeCell ref="A45:D45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A46:C46"/>
    <mergeCell ref="A47:C47"/>
    <mergeCell ref="E49:G49"/>
    <mergeCell ref="B60:E60"/>
    <mergeCell ref="AO1:AP1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X60"/>
  <sheetViews>
    <sheetView showGridLines="0" zoomScale="80" zoomScaleNormal="80" workbookViewId="0">
      <selection activeCell="AK39" sqref="AK39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8" t="s">
        <v>29</v>
      </c>
      <c r="B2" s="9">
        <v>1</v>
      </c>
      <c r="C2" s="8" t="s">
        <v>30</v>
      </c>
      <c r="D2" s="8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12" t="s">
        <v>32</v>
      </c>
      <c r="N2" s="13">
        <f>+N1+1</f>
        <v>1</v>
      </c>
      <c r="O2" s="12"/>
      <c r="P2" s="12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12" t="s">
        <v>40</v>
      </c>
      <c r="B3" s="13">
        <f t="shared" ref="B3:B32" si="1">+B2+1</f>
        <v>2</v>
      </c>
      <c r="C3" s="12"/>
      <c r="D3" s="12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12" t="s">
        <v>29</v>
      </c>
      <c r="N3" s="13">
        <f>+N2+1</f>
        <v>2</v>
      </c>
      <c r="O3" s="12"/>
      <c r="P3" s="12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10" t="s">
        <v>42</v>
      </c>
      <c r="B4" s="11">
        <f t="shared" si="1"/>
        <v>3</v>
      </c>
      <c r="C4" s="10"/>
      <c r="D4" s="10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12" t="s">
        <v>40</v>
      </c>
      <c r="N4" s="13">
        <f>+N3+1</f>
        <v>3</v>
      </c>
      <c r="O4" s="12"/>
      <c r="P4" s="12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10" t="s">
        <v>31</v>
      </c>
      <c r="B5" s="11">
        <f t="shared" si="1"/>
        <v>4</v>
      </c>
      <c r="C5" s="10"/>
      <c r="D5" s="10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10" t="s">
        <v>42</v>
      </c>
      <c r="N5" s="11">
        <f>+N4+1</f>
        <v>4</v>
      </c>
      <c r="O5" s="10"/>
      <c r="P5" s="10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12" t="s">
        <v>41</v>
      </c>
      <c r="B6" s="13">
        <f t="shared" si="1"/>
        <v>5</v>
      </c>
      <c r="C6" s="12"/>
      <c r="D6" s="12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10" t="s">
        <v>31</v>
      </c>
      <c r="N6" s="11">
        <f>+N5+1</f>
        <v>5</v>
      </c>
      <c r="O6" s="26"/>
      <c r="P6" s="27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12" t="s">
        <v>43</v>
      </c>
      <c r="B7" s="13">
        <f t="shared" si="1"/>
        <v>6</v>
      </c>
      <c r="C7" s="12"/>
      <c r="D7" s="25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8" t="s">
        <v>41</v>
      </c>
      <c r="N7" s="9">
        <v>6</v>
      </c>
      <c r="O7" s="8" t="s">
        <v>46</v>
      </c>
      <c r="P7" s="8"/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12" t="s">
        <v>44</v>
      </c>
      <c r="B8" s="13">
        <f t="shared" si="1"/>
        <v>7</v>
      </c>
      <c r="C8" s="12"/>
      <c r="D8" s="12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12" t="s">
        <v>43</v>
      </c>
      <c r="N8" s="13">
        <f t="shared" ref="N8:N32" si="5">+N7+1</f>
        <v>7</v>
      </c>
      <c r="O8" s="12"/>
      <c r="P8" s="12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12" t="s">
        <v>29</v>
      </c>
      <c r="B9" s="13">
        <f t="shared" si="1"/>
        <v>8</v>
      </c>
      <c r="C9" s="32"/>
      <c r="D9" s="3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12" t="s">
        <v>44</v>
      </c>
      <c r="N9" s="13">
        <f t="shared" si="5"/>
        <v>8</v>
      </c>
      <c r="O9" s="12"/>
      <c r="P9" s="12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12" t="s">
        <v>40</v>
      </c>
      <c r="B10" s="13">
        <f t="shared" si="1"/>
        <v>9</v>
      </c>
      <c r="C10" s="32"/>
      <c r="D10" s="3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12" t="s">
        <v>29</v>
      </c>
      <c r="N10" s="13">
        <f t="shared" si="5"/>
        <v>9</v>
      </c>
      <c r="O10" s="12"/>
      <c r="P10" s="12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10" t="s">
        <v>42</v>
      </c>
      <c r="B11" s="11">
        <f t="shared" si="1"/>
        <v>10</v>
      </c>
      <c r="C11" s="36"/>
      <c r="D11" s="36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12" t="s">
        <v>40</v>
      </c>
      <c r="N11" s="13">
        <f t="shared" si="5"/>
        <v>10</v>
      </c>
      <c r="O11" s="12"/>
      <c r="P11" s="12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10" t="s">
        <v>31</v>
      </c>
      <c r="B12" s="11">
        <f t="shared" si="1"/>
        <v>11</v>
      </c>
      <c r="C12" s="36"/>
      <c r="D12" s="36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10" t="s">
        <v>42</v>
      </c>
      <c r="N12" s="11">
        <f t="shared" si="5"/>
        <v>11</v>
      </c>
      <c r="O12" s="10"/>
      <c r="P12" s="10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12" t="s">
        <v>41</v>
      </c>
      <c r="B13" s="13">
        <f t="shared" si="1"/>
        <v>12</v>
      </c>
      <c r="C13" s="32"/>
      <c r="D13" s="32"/>
      <c r="E13" s="88" t="s">
        <v>29</v>
      </c>
      <c r="F13" s="88">
        <f t="shared" si="2"/>
        <v>12</v>
      </c>
      <c r="G13" s="88" t="s">
        <v>85</v>
      </c>
      <c r="H13" s="88">
        <v>0.5</v>
      </c>
      <c r="I13" s="12" t="s">
        <v>29</v>
      </c>
      <c r="J13" s="13">
        <f t="shared" si="4"/>
        <v>12</v>
      </c>
      <c r="K13" s="12"/>
      <c r="L13" s="25"/>
      <c r="M13" s="10" t="s">
        <v>31</v>
      </c>
      <c r="N13" s="11">
        <f t="shared" si="5"/>
        <v>12</v>
      </c>
      <c r="O13" s="10"/>
      <c r="P13" s="27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12" t="s">
        <v>43</v>
      </c>
      <c r="B14" s="13">
        <f t="shared" si="1"/>
        <v>13</v>
      </c>
      <c r="C14" s="12"/>
      <c r="D14" s="12"/>
      <c r="E14" s="88" t="s">
        <v>40</v>
      </c>
      <c r="F14" s="114">
        <f t="shared" si="2"/>
        <v>13</v>
      </c>
      <c r="G14" s="88" t="s">
        <v>86</v>
      </c>
      <c r="H14" s="115">
        <v>1</v>
      </c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12" t="s">
        <v>44</v>
      </c>
      <c r="B15" s="13">
        <f t="shared" si="1"/>
        <v>14</v>
      </c>
      <c r="C15" s="12"/>
      <c r="D15" s="12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12" t="s">
        <v>29</v>
      </c>
      <c r="B16" s="13">
        <f t="shared" si="1"/>
        <v>15</v>
      </c>
      <c r="C16" s="12"/>
      <c r="D16" s="12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17" t="s">
        <v>40</v>
      </c>
      <c r="R16" s="18">
        <f t="shared" si="6"/>
        <v>15</v>
      </c>
      <c r="S16" s="17"/>
      <c r="T16" s="17">
        <v>1</v>
      </c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12" t="s">
        <v>40</v>
      </c>
      <c r="B17" s="13">
        <f t="shared" si="1"/>
        <v>16</v>
      </c>
      <c r="C17" s="12"/>
      <c r="D17" s="12"/>
      <c r="E17" s="88" t="s">
        <v>41</v>
      </c>
      <c r="F17" s="114">
        <f t="shared" si="2"/>
        <v>16</v>
      </c>
      <c r="G17" s="116" t="s">
        <v>86</v>
      </c>
      <c r="H17" s="88">
        <v>1</v>
      </c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10" t="s">
        <v>42</v>
      </c>
      <c r="B18" s="11">
        <f t="shared" si="1"/>
        <v>17</v>
      </c>
      <c r="C18" s="36"/>
      <c r="D18" s="36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10" t="s">
        <v>31</v>
      </c>
      <c r="B19" s="11">
        <f t="shared" si="1"/>
        <v>18</v>
      </c>
      <c r="C19" s="36"/>
      <c r="D19" s="36"/>
      <c r="E19" s="12" t="s">
        <v>44</v>
      </c>
      <c r="F19" s="12">
        <f t="shared" si="2"/>
        <v>18</v>
      </c>
      <c r="G19" s="12"/>
      <c r="H19" s="12"/>
      <c r="I19" s="12" t="s">
        <v>44</v>
      </c>
      <c r="J19" s="13">
        <f t="shared" si="4"/>
        <v>18</v>
      </c>
      <c r="K19" s="12"/>
      <c r="L19" s="12"/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12" t="s">
        <v>29</v>
      </c>
      <c r="J20" s="13">
        <f t="shared" si="4"/>
        <v>19</v>
      </c>
      <c r="K20" s="12"/>
      <c r="L20" s="25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17" t="s">
        <v>40</v>
      </c>
      <c r="J21" s="18">
        <f t="shared" si="4"/>
        <v>20</v>
      </c>
      <c r="K21" s="17"/>
      <c r="L21" s="17">
        <v>1</v>
      </c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10" t="s">
        <v>42</v>
      </c>
      <c r="J22" s="11">
        <f t="shared" si="4"/>
        <v>21</v>
      </c>
      <c r="K22" s="10"/>
      <c r="L22" s="10"/>
      <c r="M22" s="12" t="s">
        <v>43</v>
      </c>
      <c r="N22" s="13">
        <f t="shared" si="5"/>
        <v>21</v>
      </c>
      <c r="O22" s="12"/>
      <c r="P22" s="117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10" t="s">
        <v>31</v>
      </c>
      <c r="J23" s="11">
        <f t="shared" si="4"/>
        <v>22</v>
      </c>
      <c r="K23" s="10"/>
      <c r="L23" s="10"/>
      <c r="M23" s="110" t="s">
        <v>44</v>
      </c>
      <c r="N23" s="111">
        <f t="shared" si="5"/>
        <v>22</v>
      </c>
      <c r="O23" s="118"/>
      <c r="P23" s="110">
        <v>1</v>
      </c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2" t="s">
        <v>41</v>
      </c>
      <c r="F24" s="13">
        <f t="shared" si="2"/>
        <v>23</v>
      </c>
      <c r="G24" s="35"/>
      <c r="H24" s="12"/>
      <c r="I24" s="12" t="s">
        <v>41</v>
      </c>
      <c r="J24" s="13">
        <f t="shared" si="4"/>
        <v>23</v>
      </c>
      <c r="K24" s="12"/>
      <c r="L24" s="12"/>
      <c r="M24" s="110" t="s">
        <v>29</v>
      </c>
      <c r="N24" s="111">
        <f t="shared" si="5"/>
        <v>23</v>
      </c>
      <c r="O24" s="110"/>
      <c r="P24" s="110">
        <v>1</v>
      </c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12" t="s">
        <v>43</v>
      </c>
      <c r="J25" s="13">
        <f t="shared" si="4"/>
        <v>24</v>
      </c>
      <c r="K25" s="35"/>
      <c r="L25" s="12"/>
      <c r="M25" s="110" t="s">
        <v>40</v>
      </c>
      <c r="N25" s="111">
        <f t="shared" si="5"/>
        <v>24</v>
      </c>
      <c r="O25" s="118"/>
      <c r="P25" s="110">
        <v>1</v>
      </c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88" t="s">
        <v>44</v>
      </c>
      <c r="F26" s="114">
        <f t="shared" si="2"/>
        <v>25</v>
      </c>
      <c r="G26" s="116"/>
      <c r="H26" s="88">
        <v>1</v>
      </c>
      <c r="I26" s="12" t="s">
        <v>44</v>
      </c>
      <c r="J26" s="13">
        <f t="shared" si="4"/>
        <v>25</v>
      </c>
      <c r="K26" s="12"/>
      <c r="L26" s="12"/>
      <c r="M26" s="10" t="s">
        <v>42</v>
      </c>
      <c r="N26" s="11">
        <f t="shared" si="5"/>
        <v>25</v>
      </c>
      <c r="O26" s="10"/>
      <c r="P26" s="10"/>
      <c r="Q26" s="8" t="s">
        <v>41</v>
      </c>
      <c r="R26" s="9">
        <f t="shared" si="6"/>
        <v>25</v>
      </c>
      <c r="S26" s="8" t="s">
        <v>52</v>
      </c>
      <c r="T26" s="8"/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88" t="s">
        <v>41</v>
      </c>
      <c r="B27" s="114">
        <f t="shared" si="1"/>
        <v>26</v>
      </c>
      <c r="C27" s="88" t="s">
        <v>86</v>
      </c>
      <c r="D27" s="88">
        <v>1</v>
      </c>
      <c r="E27" s="12" t="s">
        <v>29</v>
      </c>
      <c r="F27" s="12">
        <f t="shared" si="2"/>
        <v>26</v>
      </c>
      <c r="G27" s="12"/>
      <c r="H27" s="12"/>
      <c r="I27" s="12" t="s">
        <v>29</v>
      </c>
      <c r="J27" s="13">
        <f t="shared" si="4"/>
        <v>26</v>
      </c>
      <c r="K27" s="12"/>
      <c r="L27" s="25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88" t="s">
        <v>43</v>
      </c>
      <c r="B28" s="114">
        <f t="shared" si="1"/>
        <v>27</v>
      </c>
      <c r="C28" s="88" t="s">
        <v>86</v>
      </c>
      <c r="D28" s="88">
        <v>1</v>
      </c>
      <c r="E28" s="12" t="s">
        <v>40</v>
      </c>
      <c r="F28" s="13">
        <f t="shared" si="2"/>
        <v>27</v>
      </c>
      <c r="G28" s="12"/>
      <c r="H28" s="25"/>
      <c r="I28" s="12" t="s">
        <v>40</v>
      </c>
      <c r="J28" s="12">
        <f t="shared" si="4"/>
        <v>27</v>
      </c>
      <c r="K28" s="12" t="s">
        <v>45</v>
      </c>
      <c r="L28" s="25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88" t="s">
        <v>44</v>
      </c>
      <c r="B29" s="114">
        <f t="shared" si="1"/>
        <v>28</v>
      </c>
      <c r="C29" s="88" t="s">
        <v>86</v>
      </c>
      <c r="D29" s="88">
        <v>1</v>
      </c>
      <c r="E29" s="10" t="s">
        <v>42</v>
      </c>
      <c r="F29" s="11">
        <f t="shared" si="2"/>
        <v>28</v>
      </c>
      <c r="G29" s="10"/>
      <c r="H29" s="10"/>
      <c r="I29" s="10" t="s">
        <v>42</v>
      </c>
      <c r="J29" s="11">
        <f t="shared" si="4"/>
        <v>28</v>
      </c>
      <c r="K29" s="10"/>
      <c r="L29" s="10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88" t="s">
        <v>29</v>
      </c>
      <c r="B30" s="114">
        <f t="shared" si="1"/>
        <v>29</v>
      </c>
      <c r="C30" s="88" t="s">
        <v>86</v>
      </c>
      <c r="D30" s="88">
        <v>1</v>
      </c>
      <c r="E30" s="12"/>
      <c r="F30" s="13"/>
      <c r="G30" s="12"/>
      <c r="H30" s="12"/>
      <c r="I30" s="10" t="s">
        <v>31</v>
      </c>
      <c r="J30" s="11">
        <f t="shared" si="4"/>
        <v>29</v>
      </c>
      <c r="K30" s="10"/>
      <c r="L30" s="10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88" t="s">
        <v>40</v>
      </c>
      <c r="B31" s="114">
        <f t="shared" si="1"/>
        <v>30</v>
      </c>
      <c r="C31" s="88" t="s">
        <v>86</v>
      </c>
      <c r="D31" s="88">
        <v>1</v>
      </c>
      <c r="E31" s="12"/>
      <c r="F31" s="13"/>
      <c r="G31" s="12"/>
      <c r="H31" s="12"/>
      <c r="I31" s="12" t="s">
        <v>41</v>
      </c>
      <c r="J31" s="13">
        <f t="shared" si="4"/>
        <v>30</v>
      </c>
      <c r="K31" s="12"/>
      <c r="L31" s="12"/>
      <c r="M31" s="12" t="s">
        <v>29</v>
      </c>
      <c r="N31" s="13">
        <f t="shared" si="5"/>
        <v>30</v>
      </c>
      <c r="O31" s="12"/>
      <c r="P31" s="12"/>
      <c r="Q31" s="124" t="s">
        <v>42</v>
      </c>
      <c r="R31" s="125">
        <f t="shared" si="6"/>
        <v>30</v>
      </c>
      <c r="S31" s="181" t="s">
        <v>105</v>
      </c>
      <c r="T31" s="18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12" t="s">
        <v>43</v>
      </c>
      <c r="J32" s="13">
        <f t="shared" si="4"/>
        <v>31</v>
      </c>
      <c r="K32" s="12"/>
      <c r="L32" s="12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3.5</v>
      </c>
      <c r="I33" s="12" t="s">
        <v>54</v>
      </c>
      <c r="J33" s="13"/>
      <c r="K33" s="20">
        <f>SUM(K2:K32)</f>
        <v>0</v>
      </c>
      <c r="L33" s="20">
        <f>SUM(L2:L32)</f>
        <v>1</v>
      </c>
      <c r="M33" s="12" t="s">
        <v>54</v>
      </c>
      <c r="N33" s="12"/>
      <c r="O33" s="20">
        <f>SUM(O3:O32)</f>
        <v>0</v>
      </c>
      <c r="P33" s="20">
        <f>SUM(P2:P32)</f>
        <v>3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6</v>
      </c>
      <c r="D39" s="63" t="s">
        <v>64</v>
      </c>
      <c r="E39" s="60" t="s">
        <v>65</v>
      </c>
      <c r="F39" s="61"/>
      <c r="G39" s="119">
        <f>C39-H13-H14-H17-H26</f>
        <v>2.5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63" t="s">
        <v>64</v>
      </c>
      <c r="AW39" s="1"/>
    </row>
    <row r="40" spans="1:49" ht="22.5" customHeight="1">
      <c r="C40" s="66"/>
      <c r="D40" s="14"/>
      <c r="E40" s="14"/>
      <c r="F40" s="65"/>
      <c r="G40" s="66"/>
      <c r="H40" s="14"/>
      <c r="I40" s="14"/>
      <c r="J40" s="65"/>
      <c r="K40" s="66"/>
      <c r="L40" s="14"/>
      <c r="M40" s="14"/>
      <c r="N40" s="65"/>
      <c r="O40" s="66"/>
      <c r="P40" s="14"/>
      <c r="Q40" s="14"/>
      <c r="R40" s="65"/>
      <c r="S40" s="66"/>
      <c r="T40" s="14"/>
      <c r="U40" s="14"/>
      <c r="V40" s="65"/>
      <c r="W40" s="66"/>
      <c r="X40" s="14"/>
      <c r="Y40" s="14"/>
      <c r="Z40" s="65"/>
      <c r="AA40" s="66"/>
      <c r="AB40" s="14"/>
      <c r="AC40" s="14"/>
      <c r="AD40" s="65"/>
      <c r="AE40" s="66"/>
      <c r="AF40" s="14"/>
      <c r="AG40" s="14"/>
      <c r="AH40" s="65"/>
      <c r="AI40" s="66"/>
      <c r="AJ40" s="14"/>
      <c r="AK40" s="14"/>
      <c r="AL40" s="65"/>
      <c r="AM40" s="66"/>
      <c r="AN40" s="14"/>
      <c r="AO40" s="14"/>
      <c r="AP40" s="65"/>
      <c r="AQ40" s="66"/>
      <c r="AR40" s="14"/>
      <c r="AS40" s="14"/>
      <c r="AT40" s="65"/>
      <c r="AU40" s="14"/>
      <c r="AV40" s="67"/>
      <c r="AW40" s="1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>
        <v>22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>
        <v>11</v>
      </c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64">
        <v>44977</v>
      </c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7000000}"/>
  <mergeCells count="19">
    <mergeCell ref="Q1:R1"/>
    <mergeCell ref="A47:C47"/>
    <mergeCell ref="E49:G49"/>
    <mergeCell ref="B60:E60"/>
    <mergeCell ref="AO1:AP1"/>
    <mergeCell ref="AS1:AT1"/>
    <mergeCell ref="A44:C44"/>
    <mergeCell ref="A45:D45"/>
    <mergeCell ref="A46:C46"/>
    <mergeCell ref="U1:V1"/>
    <mergeCell ref="Y1:Z1"/>
    <mergeCell ref="AC1:AD1"/>
    <mergeCell ref="AG1:AH1"/>
    <mergeCell ref="AK1:AL1"/>
    <mergeCell ref="A1:B1"/>
    <mergeCell ref="E1:F1"/>
    <mergeCell ref="I1:J1"/>
    <mergeCell ref="S31:T31"/>
    <mergeCell ref="M1:N1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X60"/>
  <sheetViews>
    <sheetView showGridLines="0" topLeftCell="A4" zoomScale="80" zoomScaleNormal="80" workbookViewId="0">
      <selection activeCell="AA45" sqref="AA45"/>
    </sheetView>
  </sheetViews>
  <sheetFormatPr baseColWidth="10" defaultColWidth="11.44140625" defaultRowHeight="13.8"/>
  <cols>
    <col min="1" max="1" width="11.44140625" style="3" customWidth="1"/>
    <col min="2" max="2" width="3" style="2" customWidth="1"/>
    <col min="3" max="3" width="6.109375" style="3" customWidth="1"/>
    <col min="4" max="4" width="6" style="3" customWidth="1"/>
    <col min="5" max="5" width="11.44140625" style="3" customWidth="1"/>
    <col min="6" max="6" width="3" style="3" customWidth="1"/>
    <col min="7" max="7" width="6.109375" style="3" customWidth="1"/>
    <col min="8" max="8" width="6" style="3" customWidth="1"/>
    <col min="9" max="9" width="11.44140625" style="3" customWidth="1"/>
    <col min="10" max="10" width="3" style="2" customWidth="1"/>
    <col min="11" max="11" width="6.109375" style="3" customWidth="1"/>
    <col min="12" max="12" width="6" style="3" customWidth="1"/>
    <col min="13" max="13" width="11.33203125" style="3" customWidth="1"/>
    <col min="14" max="14" width="3" style="3" customWidth="1"/>
    <col min="15" max="16" width="6" style="3" customWidth="1"/>
    <col min="17" max="17" width="11.44140625" style="3"/>
    <col min="18" max="18" width="3" style="2" customWidth="1"/>
    <col min="19" max="20" width="6" style="3" customWidth="1"/>
    <col min="21" max="21" width="11.44140625" style="3"/>
    <col min="22" max="22" width="3" style="2" customWidth="1"/>
    <col min="23" max="23" width="6.109375" style="3" customWidth="1"/>
    <col min="24" max="24" width="6" style="3" customWidth="1"/>
    <col min="25" max="25" width="11.44140625" style="3"/>
    <col min="26" max="26" width="3" style="3" customWidth="1"/>
    <col min="27" max="28" width="6" style="3" customWidth="1"/>
    <col min="29" max="29" width="11.44140625" style="3" customWidth="1"/>
    <col min="30" max="30" width="3" style="3" customWidth="1"/>
    <col min="31" max="32" width="6" style="3" customWidth="1"/>
    <col min="33" max="33" width="11.44140625" style="3"/>
    <col min="34" max="34" width="3.109375" style="3" customWidth="1"/>
    <col min="35" max="36" width="6" style="3" customWidth="1"/>
    <col min="37" max="37" width="11.44140625" style="3"/>
    <col min="38" max="38" width="3" style="3" customWidth="1"/>
    <col min="39" max="40" width="6" style="3" customWidth="1"/>
    <col min="41" max="41" width="11.44140625" style="3"/>
    <col min="42" max="42" width="3" style="3" customWidth="1"/>
    <col min="43" max="44" width="6" style="3" customWidth="1"/>
    <col min="45" max="45" width="11.44140625" style="3"/>
    <col min="46" max="46" width="3" style="3" customWidth="1"/>
    <col min="47" max="47" width="6" style="3" customWidth="1"/>
    <col min="48" max="48" width="6.109375" style="3" customWidth="1"/>
    <col min="49" max="49" width="32.33203125" style="3" customWidth="1"/>
    <col min="50" max="16384" width="11.44140625" style="3"/>
  </cols>
  <sheetData>
    <row r="1" spans="1:50" s="1" customFormat="1">
      <c r="A1" s="176" t="s">
        <v>15</v>
      </c>
      <c r="B1" s="169"/>
      <c r="C1" s="4" t="s">
        <v>16</v>
      </c>
      <c r="D1" s="5" t="s">
        <v>17</v>
      </c>
      <c r="E1" s="176" t="s">
        <v>18</v>
      </c>
      <c r="F1" s="169"/>
      <c r="G1" s="4" t="s">
        <v>16</v>
      </c>
      <c r="H1" s="5" t="s">
        <v>17</v>
      </c>
      <c r="I1" s="168" t="s">
        <v>19</v>
      </c>
      <c r="J1" s="169"/>
      <c r="K1" s="4" t="s">
        <v>16</v>
      </c>
      <c r="L1" s="5" t="s">
        <v>17</v>
      </c>
      <c r="M1" s="168" t="s">
        <v>20</v>
      </c>
      <c r="N1" s="169"/>
      <c r="O1" s="4" t="s">
        <v>16</v>
      </c>
      <c r="P1" s="5" t="s">
        <v>17</v>
      </c>
      <c r="Q1" s="168" t="s">
        <v>21</v>
      </c>
      <c r="R1" s="169"/>
      <c r="S1" s="4" t="s">
        <v>16</v>
      </c>
      <c r="T1" s="5" t="s">
        <v>17</v>
      </c>
      <c r="U1" s="168" t="s">
        <v>22</v>
      </c>
      <c r="V1" s="169"/>
      <c r="W1" s="4" t="s">
        <v>16</v>
      </c>
      <c r="X1" s="5" t="s">
        <v>17</v>
      </c>
      <c r="Y1" s="168" t="s">
        <v>23</v>
      </c>
      <c r="Z1" s="169"/>
      <c r="AA1" s="4" t="s">
        <v>16</v>
      </c>
      <c r="AB1" s="5" t="s">
        <v>17</v>
      </c>
      <c r="AC1" s="168" t="s">
        <v>24</v>
      </c>
      <c r="AD1" s="169"/>
      <c r="AE1" s="4" t="s">
        <v>16</v>
      </c>
      <c r="AF1" s="5" t="s">
        <v>17</v>
      </c>
      <c r="AG1" s="168" t="s">
        <v>25</v>
      </c>
      <c r="AH1" s="169"/>
      <c r="AI1" s="4" t="s">
        <v>16</v>
      </c>
      <c r="AJ1" s="6" t="s">
        <v>17</v>
      </c>
      <c r="AK1" s="168" t="s">
        <v>26</v>
      </c>
      <c r="AL1" s="169"/>
      <c r="AM1" s="4" t="s">
        <v>16</v>
      </c>
      <c r="AN1" s="6" t="s">
        <v>17</v>
      </c>
      <c r="AO1" s="168" t="s">
        <v>27</v>
      </c>
      <c r="AP1" s="169"/>
      <c r="AQ1" s="4" t="s">
        <v>16</v>
      </c>
      <c r="AR1" s="6" t="s">
        <v>17</v>
      </c>
      <c r="AS1" s="168" t="s">
        <v>28</v>
      </c>
      <c r="AT1" s="169"/>
      <c r="AU1" s="4" t="s">
        <v>16</v>
      </c>
      <c r="AV1" s="6" t="s">
        <v>17</v>
      </c>
      <c r="AW1" s="7"/>
    </row>
    <row r="2" spans="1:50">
      <c r="A2" s="97" t="s">
        <v>29</v>
      </c>
      <c r="B2" s="98">
        <v>1</v>
      </c>
      <c r="C2" s="97" t="s">
        <v>30</v>
      </c>
      <c r="D2" s="97"/>
      <c r="E2" s="10" t="s">
        <v>31</v>
      </c>
      <c r="F2" s="11">
        <f>+F1+1</f>
        <v>1</v>
      </c>
      <c r="G2" s="10"/>
      <c r="H2" s="10"/>
      <c r="I2" s="10" t="s">
        <v>31</v>
      </c>
      <c r="J2" s="11">
        <f>+J1+1</f>
        <v>1</v>
      </c>
      <c r="K2" s="10"/>
      <c r="L2" s="10"/>
      <c r="M2" s="94" t="s">
        <v>32</v>
      </c>
      <c r="N2" s="95">
        <f>+N1+1</f>
        <v>1</v>
      </c>
      <c r="O2" s="94"/>
      <c r="P2" s="94"/>
      <c r="Q2" s="8" t="s">
        <v>33</v>
      </c>
      <c r="R2" s="9">
        <v>1</v>
      </c>
      <c r="S2" s="8" t="s">
        <v>34</v>
      </c>
      <c r="T2" s="8"/>
      <c r="U2" s="12" t="s">
        <v>35</v>
      </c>
      <c r="V2" s="13">
        <f>+V1+1</f>
        <v>1</v>
      </c>
      <c r="W2" s="14"/>
      <c r="X2" s="12"/>
      <c r="Y2" s="12" t="s">
        <v>32</v>
      </c>
      <c r="Z2" s="12">
        <f>+Z1+1</f>
        <v>1</v>
      </c>
      <c r="AA2" s="12"/>
      <c r="AB2" s="12"/>
      <c r="AC2" s="10" t="s">
        <v>36</v>
      </c>
      <c r="AD2" s="10">
        <f>+AD1+1</f>
        <v>1</v>
      </c>
      <c r="AE2" s="10"/>
      <c r="AF2" s="10"/>
      <c r="AG2" s="12" t="s">
        <v>37</v>
      </c>
      <c r="AH2" s="12">
        <f t="shared" ref="AH2:AH31" si="0">+AH1+1</f>
        <v>1</v>
      </c>
      <c r="AI2" s="15"/>
      <c r="AJ2" s="15"/>
      <c r="AK2" s="12" t="s">
        <v>29</v>
      </c>
      <c r="AL2" s="12">
        <f>+AL1+1</f>
        <v>1</v>
      </c>
      <c r="AM2" s="12"/>
      <c r="AN2" s="12"/>
      <c r="AO2" s="10" t="s">
        <v>38</v>
      </c>
      <c r="AP2" s="11">
        <f>+AP1+1</f>
        <v>1</v>
      </c>
      <c r="AQ2" s="10" t="s">
        <v>39</v>
      </c>
      <c r="AR2" s="10"/>
      <c r="AS2" s="12" t="s">
        <v>37</v>
      </c>
      <c r="AT2" s="12">
        <f>+AT1+1</f>
        <v>1</v>
      </c>
      <c r="AU2" s="12"/>
      <c r="AV2" s="12"/>
      <c r="AW2" s="16"/>
    </row>
    <row r="3" spans="1:50">
      <c r="A3" s="97" t="s">
        <v>40</v>
      </c>
      <c r="B3" s="98">
        <f t="shared" ref="B3:B32" si="1">+B2+1</f>
        <v>2</v>
      </c>
      <c r="C3" s="97"/>
      <c r="D3" s="97"/>
      <c r="E3" s="12" t="s">
        <v>41</v>
      </c>
      <c r="F3" s="13">
        <f t="shared" ref="F3:F29" si="2">+F2+1</f>
        <v>2</v>
      </c>
      <c r="G3" s="12"/>
      <c r="H3" s="12"/>
      <c r="I3" s="12" t="s">
        <v>41</v>
      </c>
      <c r="J3" s="13">
        <f>+J2+1</f>
        <v>2</v>
      </c>
      <c r="K3" s="12"/>
      <c r="L3" s="12"/>
      <c r="M3" s="94" t="s">
        <v>29</v>
      </c>
      <c r="N3" s="95">
        <f>+N2+1</f>
        <v>2</v>
      </c>
      <c r="O3" s="94"/>
      <c r="P3" s="94"/>
      <c r="Q3" s="10" t="s">
        <v>42</v>
      </c>
      <c r="R3" s="11">
        <f>+R2+1</f>
        <v>2</v>
      </c>
      <c r="S3" s="10"/>
      <c r="T3" s="10"/>
      <c r="U3" s="12" t="s">
        <v>43</v>
      </c>
      <c r="V3" s="13">
        <f>+V2+1</f>
        <v>2</v>
      </c>
      <c r="W3" s="12"/>
      <c r="X3" s="12"/>
      <c r="Y3" s="12" t="s">
        <v>29</v>
      </c>
      <c r="Z3" s="12">
        <f t="shared" ref="Z3:Z32" si="3">+Z2+1</f>
        <v>2</v>
      </c>
      <c r="AA3" s="19"/>
      <c r="AB3" s="19"/>
      <c r="AC3" s="10" t="s">
        <v>31</v>
      </c>
      <c r="AD3" s="10">
        <f>+AD2+1</f>
        <v>2</v>
      </c>
      <c r="AE3" s="10"/>
      <c r="AF3" s="10"/>
      <c r="AG3" s="12" t="s">
        <v>44</v>
      </c>
      <c r="AH3" s="12">
        <f t="shared" si="0"/>
        <v>2</v>
      </c>
      <c r="AI3" s="15"/>
      <c r="AJ3" s="15"/>
      <c r="AK3" s="12" t="s">
        <v>40</v>
      </c>
      <c r="AL3" s="12">
        <f>+AL2+1</f>
        <v>2</v>
      </c>
      <c r="AM3" s="12"/>
      <c r="AN3" s="12"/>
      <c r="AO3" s="12" t="s">
        <v>41</v>
      </c>
      <c r="AP3" s="13">
        <f>+AP2+1</f>
        <v>2</v>
      </c>
      <c r="AQ3" s="12"/>
      <c r="AR3" s="12"/>
      <c r="AS3" s="12" t="s">
        <v>44</v>
      </c>
      <c r="AT3" s="12">
        <f>+AT2+1</f>
        <v>2</v>
      </c>
      <c r="AU3" s="20"/>
      <c r="AV3" s="12"/>
      <c r="AW3" s="16"/>
      <c r="AX3" s="21"/>
    </row>
    <row r="4" spans="1:50">
      <c r="A4" s="97" t="s">
        <v>42</v>
      </c>
      <c r="B4" s="98">
        <f t="shared" si="1"/>
        <v>3</v>
      </c>
      <c r="C4" s="97"/>
      <c r="D4" s="97"/>
      <c r="E4" s="12" t="s">
        <v>43</v>
      </c>
      <c r="F4" s="13">
        <f t="shared" si="2"/>
        <v>3</v>
      </c>
      <c r="G4" s="12"/>
      <c r="H4" s="12"/>
      <c r="I4" s="12" t="s">
        <v>43</v>
      </c>
      <c r="J4" s="13">
        <f>+J3+1</f>
        <v>3</v>
      </c>
      <c r="K4" s="12"/>
      <c r="L4" s="12"/>
      <c r="M4" s="94" t="s">
        <v>40</v>
      </c>
      <c r="N4" s="95">
        <f>+N3+1</f>
        <v>3</v>
      </c>
      <c r="O4" s="94"/>
      <c r="P4" s="94"/>
      <c r="Q4" s="10" t="s">
        <v>31</v>
      </c>
      <c r="R4" s="11">
        <f>+R3+1</f>
        <v>3</v>
      </c>
      <c r="S4" s="10"/>
      <c r="T4" s="10"/>
      <c r="U4" s="12" t="s">
        <v>44</v>
      </c>
      <c r="V4" s="13">
        <f>+V3+1</f>
        <v>3</v>
      </c>
      <c r="W4" s="13"/>
      <c r="X4" s="13"/>
      <c r="Y4" s="12" t="s">
        <v>40</v>
      </c>
      <c r="Z4" s="12">
        <f t="shared" si="3"/>
        <v>3</v>
      </c>
      <c r="AA4" s="12"/>
      <c r="AB4" s="12"/>
      <c r="AC4" s="12" t="s">
        <v>41</v>
      </c>
      <c r="AD4" s="12">
        <f>+AD3+1</f>
        <v>3</v>
      </c>
      <c r="AE4" s="12"/>
      <c r="AF4" s="12"/>
      <c r="AG4" s="12" t="s">
        <v>29</v>
      </c>
      <c r="AH4" s="12">
        <f t="shared" si="0"/>
        <v>3</v>
      </c>
      <c r="AI4" s="15"/>
      <c r="AJ4" s="15"/>
      <c r="AK4" s="10" t="s">
        <v>42</v>
      </c>
      <c r="AL4" s="10">
        <f>+AL3+1</f>
        <v>3</v>
      </c>
      <c r="AM4" s="10"/>
      <c r="AN4" s="10"/>
      <c r="AO4" s="12" t="s">
        <v>43</v>
      </c>
      <c r="AP4" s="13">
        <f>+AP3+1</f>
        <v>3</v>
      </c>
      <c r="AQ4" s="12"/>
      <c r="AR4" s="12"/>
      <c r="AS4" s="12" t="s">
        <v>29</v>
      </c>
      <c r="AT4" s="12">
        <f>+AT3+1</f>
        <v>3</v>
      </c>
      <c r="AU4" s="12"/>
      <c r="AV4" s="12"/>
      <c r="AW4" s="16"/>
      <c r="AX4" s="22"/>
    </row>
    <row r="5" spans="1:50">
      <c r="A5" s="97" t="s">
        <v>31</v>
      </c>
      <c r="B5" s="98">
        <f t="shared" si="1"/>
        <v>4</v>
      </c>
      <c r="C5" s="97"/>
      <c r="D5" s="97"/>
      <c r="E5" s="12" t="s">
        <v>44</v>
      </c>
      <c r="F5" s="12">
        <f t="shared" si="2"/>
        <v>4</v>
      </c>
      <c r="G5" s="12"/>
      <c r="H5" s="12"/>
      <c r="I5" s="12" t="s">
        <v>44</v>
      </c>
      <c r="J5" s="13">
        <f>+J4+1</f>
        <v>4</v>
      </c>
      <c r="K5" s="12"/>
      <c r="L5" s="12"/>
      <c r="M5" s="94" t="s">
        <v>42</v>
      </c>
      <c r="N5" s="95">
        <f>+N4+1</f>
        <v>4</v>
      </c>
      <c r="O5" s="94"/>
      <c r="P5" s="94"/>
      <c r="Q5" s="23" t="s">
        <v>41</v>
      </c>
      <c r="R5" s="12">
        <f>+R4+1</f>
        <v>4</v>
      </c>
      <c r="S5" s="12" t="s">
        <v>45</v>
      </c>
      <c r="T5" s="12"/>
      <c r="U5" s="12" t="s">
        <v>29</v>
      </c>
      <c r="V5" s="13">
        <f>+V4+1</f>
        <v>4</v>
      </c>
      <c r="W5" s="12"/>
      <c r="X5" s="12"/>
      <c r="Y5" s="10" t="s">
        <v>42</v>
      </c>
      <c r="Z5" s="10">
        <f t="shared" si="3"/>
        <v>4</v>
      </c>
      <c r="AA5" s="10"/>
      <c r="AB5" s="10"/>
      <c r="AC5" s="12" t="s">
        <v>43</v>
      </c>
      <c r="AD5" s="12">
        <f>+AD4+1</f>
        <v>4</v>
      </c>
      <c r="AE5" s="12"/>
      <c r="AF5" s="12"/>
      <c r="AG5" s="12" t="s">
        <v>40</v>
      </c>
      <c r="AH5" s="12">
        <f t="shared" si="0"/>
        <v>4</v>
      </c>
      <c r="AI5" s="15"/>
      <c r="AJ5" s="15">
        <v>1</v>
      </c>
      <c r="AK5" s="10" t="s">
        <v>31</v>
      </c>
      <c r="AL5" s="10">
        <f>+AL4+1</f>
        <v>4</v>
      </c>
      <c r="AM5" s="10"/>
      <c r="AN5" s="10"/>
      <c r="AO5" s="12" t="s">
        <v>44</v>
      </c>
      <c r="AP5" s="13">
        <f>+AP4+1</f>
        <v>4</v>
      </c>
      <c r="AQ5" s="12"/>
      <c r="AR5" s="12"/>
      <c r="AS5" s="12" t="s">
        <v>40</v>
      </c>
      <c r="AT5" s="12">
        <f>+AT4+1</f>
        <v>4</v>
      </c>
      <c r="AU5" s="12"/>
      <c r="AV5" s="12"/>
      <c r="AW5" s="16"/>
      <c r="AX5" s="24"/>
    </row>
    <row r="6" spans="1:50">
      <c r="A6" s="97" t="s">
        <v>41</v>
      </c>
      <c r="B6" s="98">
        <f t="shared" si="1"/>
        <v>5</v>
      </c>
      <c r="C6" s="97"/>
      <c r="D6" s="97"/>
      <c r="E6" s="12" t="s">
        <v>29</v>
      </c>
      <c r="F6" s="12">
        <f t="shared" si="2"/>
        <v>5</v>
      </c>
      <c r="G6" s="12"/>
      <c r="H6" s="12"/>
      <c r="I6" s="12" t="s">
        <v>29</v>
      </c>
      <c r="J6" s="13">
        <f>+J5+1</f>
        <v>5</v>
      </c>
      <c r="K6" s="12"/>
      <c r="L6" s="25"/>
      <c r="M6" s="94" t="s">
        <v>31</v>
      </c>
      <c r="N6" s="95">
        <f>+N5+1</f>
        <v>5</v>
      </c>
      <c r="O6" s="99"/>
      <c r="P6" s="100"/>
      <c r="Q6" s="23" t="s">
        <v>43</v>
      </c>
      <c r="R6" s="13">
        <f>+R5+1</f>
        <v>5</v>
      </c>
      <c r="S6" s="12"/>
      <c r="T6" s="12"/>
      <c r="U6" s="12" t="s">
        <v>40</v>
      </c>
      <c r="V6" s="13">
        <f>+V5+1</f>
        <v>5</v>
      </c>
      <c r="W6" s="12"/>
      <c r="X6" s="12"/>
      <c r="Y6" s="10" t="s">
        <v>31</v>
      </c>
      <c r="Z6" s="10">
        <f t="shared" si="3"/>
        <v>5</v>
      </c>
      <c r="AA6" s="10"/>
      <c r="AB6" s="27"/>
      <c r="AC6" s="12" t="s">
        <v>44</v>
      </c>
      <c r="AD6" s="12">
        <f>+AD5+1</f>
        <v>5</v>
      </c>
      <c r="AE6" s="12"/>
      <c r="AF6" s="12"/>
      <c r="AG6" s="10" t="s">
        <v>42</v>
      </c>
      <c r="AH6" s="10">
        <f t="shared" si="0"/>
        <v>5</v>
      </c>
      <c r="AI6" s="28"/>
      <c r="AJ6" s="29"/>
      <c r="AK6" s="12" t="s">
        <v>41</v>
      </c>
      <c r="AL6" s="12">
        <f>+AL5+1</f>
        <v>5</v>
      </c>
      <c r="AM6" s="12"/>
      <c r="AN6" s="25"/>
      <c r="AO6" s="12" t="s">
        <v>29</v>
      </c>
      <c r="AP6" s="13">
        <f>+AP5+1</f>
        <v>5</v>
      </c>
      <c r="AQ6" s="12"/>
      <c r="AR6" s="25"/>
      <c r="AS6" s="12" t="s">
        <v>42</v>
      </c>
      <c r="AT6" s="12">
        <f>+AT5+1</f>
        <v>5</v>
      </c>
      <c r="AU6" s="12"/>
      <c r="AV6" s="25"/>
      <c r="AW6" s="16"/>
      <c r="AX6" s="30"/>
    </row>
    <row r="7" spans="1:50">
      <c r="A7" s="97" t="s">
        <v>43</v>
      </c>
      <c r="B7" s="98">
        <f t="shared" si="1"/>
        <v>6</v>
      </c>
      <c r="C7" s="97"/>
      <c r="D7" s="101"/>
      <c r="E7" s="12" t="s">
        <v>40</v>
      </c>
      <c r="F7" s="13">
        <f t="shared" si="2"/>
        <v>6</v>
      </c>
      <c r="G7" s="12"/>
      <c r="H7" s="25"/>
      <c r="I7" s="12" t="s">
        <v>40</v>
      </c>
      <c r="J7" s="13">
        <v>6</v>
      </c>
      <c r="K7" s="12"/>
      <c r="L7" s="12"/>
      <c r="M7" s="94" t="s">
        <v>41</v>
      </c>
      <c r="N7" s="95">
        <v>6</v>
      </c>
      <c r="O7" s="94" t="s">
        <v>46</v>
      </c>
      <c r="P7" s="94" t="s">
        <v>87</v>
      </c>
      <c r="Q7" s="23" t="s">
        <v>44</v>
      </c>
      <c r="R7" s="13">
        <v>6</v>
      </c>
      <c r="S7" s="12"/>
      <c r="T7" s="12"/>
      <c r="U7" s="10" t="s">
        <v>42</v>
      </c>
      <c r="V7" s="11">
        <v>6</v>
      </c>
      <c r="W7" s="10"/>
      <c r="X7" s="10"/>
      <c r="Y7" s="12" t="s">
        <v>41</v>
      </c>
      <c r="Z7" s="12">
        <f t="shared" si="3"/>
        <v>6</v>
      </c>
      <c r="AA7" s="12"/>
      <c r="AB7" s="12"/>
      <c r="AC7" s="12" t="s">
        <v>29</v>
      </c>
      <c r="AD7" s="12">
        <v>6</v>
      </c>
      <c r="AE7" s="12"/>
      <c r="AF7" s="12"/>
      <c r="AG7" s="10" t="s">
        <v>31</v>
      </c>
      <c r="AH7" s="10">
        <f t="shared" si="0"/>
        <v>6</v>
      </c>
      <c r="AI7" s="28"/>
      <c r="AJ7" s="28"/>
      <c r="AK7" s="12" t="s">
        <v>43</v>
      </c>
      <c r="AL7" s="12">
        <v>6</v>
      </c>
      <c r="AM7" s="12"/>
      <c r="AN7" s="12"/>
      <c r="AO7" s="12" t="s">
        <v>40</v>
      </c>
      <c r="AP7" s="13">
        <v>6</v>
      </c>
      <c r="AQ7" s="12"/>
      <c r="AR7" s="12"/>
      <c r="AS7" s="10" t="s">
        <v>31</v>
      </c>
      <c r="AT7" s="10">
        <v>6</v>
      </c>
      <c r="AU7" s="10"/>
      <c r="AV7" s="10"/>
      <c r="AW7" s="16"/>
    </row>
    <row r="8" spans="1:50">
      <c r="A8" s="97" t="s">
        <v>44</v>
      </c>
      <c r="B8" s="98">
        <f t="shared" si="1"/>
        <v>7</v>
      </c>
      <c r="C8" s="97"/>
      <c r="D8" s="97"/>
      <c r="E8" s="10" t="s">
        <v>42</v>
      </c>
      <c r="F8" s="11">
        <f t="shared" si="2"/>
        <v>7</v>
      </c>
      <c r="G8" s="10"/>
      <c r="H8" s="10"/>
      <c r="I8" s="10" t="s">
        <v>42</v>
      </c>
      <c r="J8" s="11">
        <f t="shared" ref="J8:J32" si="4">+J7+1</f>
        <v>7</v>
      </c>
      <c r="K8" s="10"/>
      <c r="L8" s="10"/>
      <c r="M8" s="94" t="s">
        <v>43</v>
      </c>
      <c r="N8" s="95">
        <f t="shared" ref="N8:N32" si="5">+N7+1</f>
        <v>7</v>
      </c>
      <c r="O8" s="94"/>
      <c r="P8" s="94"/>
      <c r="Q8" s="23" t="s">
        <v>29</v>
      </c>
      <c r="R8" s="13">
        <f t="shared" ref="R8:R32" si="6">+R7+1</f>
        <v>7</v>
      </c>
      <c r="S8" s="12"/>
      <c r="T8" s="12"/>
      <c r="U8" s="10" t="s">
        <v>31</v>
      </c>
      <c r="V8" s="11">
        <f t="shared" ref="V8:V31" si="7">+V7+1</f>
        <v>7</v>
      </c>
      <c r="W8" s="10"/>
      <c r="X8" s="10"/>
      <c r="Y8" s="12" t="s">
        <v>43</v>
      </c>
      <c r="Z8" s="12">
        <f t="shared" si="3"/>
        <v>7</v>
      </c>
      <c r="AA8" s="12"/>
      <c r="AB8" s="12"/>
      <c r="AC8" s="12" t="s">
        <v>40</v>
      </c>
      <c r="AD8" s="12">
        <f t="shared" ref="AD8:AD32" si="8">+AD7+1</f>
        <v>7</v>
      </c>
      <c r="AE8" s="12"/>
      <c r="AF8" s="12"/>
      <c r="AG8" s="12" t="s">
        <v>41</v>
      </c>
      <c r="AH8" s="12">
        <f t="shared" si="0"/>
        <v>7</v>
      </c>
      <c r="AI8" s="15"/>
      <c r="AJ8" s="15"/>
      <c r="AK8" s="12" t="s">
        <v>44</v>
      </c>
      <c r="AL8" s="12">
        <f t="shared" ref="AL8:AL32" si="9">+AL7+1</f>
        <v>7</v>
      </c>
      <c r="AM8" s="12"/>
      <c r="AN8" s="12"/>
      <c r="AO8" s="10" t="s">
        <v>42</v>
      </c>
      <c r="AP8" s="11">
        <f t="shared" ref="AP8:AP31" si="10">+AP7+1</f>
        <v>7</v>
      </c>
      <c r="AQ8" s="10"/>
      <c r="AR8" s="10"/>
      <c r="AS8" s="10" t="s">
        <v>41</v>
      </c>
      <c r="AT8" s="10">
        <f t="shared" ref="AT8:AT32" si="11">+AT7+1</f>
        <v>7</v>
      </c>
      <c r="AU8" s="10"/>
      <c r="AV8" s="10"/>
      <c r="AW8" s="16"/>
      <c r="AX8" s="31"/>
    </row>
    <row r="9" spans="1:50">
      <c r="A9" s="97" t="s">
        <v>29</v>
      </c>
      <c r="B9" s="98">
        <f t="shared" si="1"/>
        <v>8</v>
      </c>
      <c r="C9" s="102"/>
      <c r="D9" s="102"/>
      <c r="E9" s="10" t="s">
        <v>31</v>
      </c>
      <c r="F9" s="11">
        <f t="shared" si="2"/>
        <v>8</v>
      </c>
      <c r="G9" s="10"/>
      <c r="H9" s="10"/>
      <c r="I9" s="10" t="s">
        <v>31</v>
      </c>
      <c r="J9" s="11">
        <f t="shared" si="4"/>
        <v>8</v>
      </c>
      <c r="K9" s="10"/>
      <c r="L9" s="10"/>
      <c r="M9" s="94" t="s">
        <v>44</v>
      </c>
      <c r="N9" s="95">
        <f t="shared" si="5"/>
        <v>8</v>
      </c>
      <c r="O9" s="94"/>
      <c r="P9" s="94"/>
      <c r="Q9" s="8" t="s">
        <v>40</v>
      </c>
      <c r="R9" s="9">
        <f t="shared" si="6"/>
        <v>8</v>
      </c>
      <c r="S9" s="8" t="s">
        <v>47</v>
      </c>
      <c r="T9" s="8"/>
      <c r="U9" s="12" t="s">
        <v>41</v>
      </c>
      <c r="V9" s="13">
        <f t="shared" si="7"/>
        <v>8</v>
      </c>
      <c r="W9" s="12"/>
      <c r="X9" s="12"/>
      <c r="Y9" s="12" t="s">
        <v>44</v>
      </c>
      <c r="Z9" s="12">
        <f t="shared" si="3"/>
        <v>8</v>
      </c>
      <c r="AA9" s="12"/>
      <c r="AB9" s="12"/>
      <c r="AC9" s="10" t="s">
        <v>42</v>
      </c>
      <c r="AD9" s="10">
        <f t="shared" si="8"/>
        <v>8</v>
      </c>
      <c r="AE9" s="10"/>
      <c r="AF9" s="10"/>
      <c r="AG9" s="12" t="s">
        <v>43</v>
      </c>
      <c r="AH9" s="12">
        <f t="shared" si="0"/>
        <v>8</v>
      </c>
      <c r="AI9" s="15"/>
      <c r="AJ9" s="15"/>
      <c r="AK9" s="12" t="s">
        <v>29</v>
      </c>
      <c r="AL9" s="12">
        <f t="shared" si="9"/>
        <v>8</v>
      </c>
      <c r="AM9" s="12"/>
      <c r="AN9" s="12"/>
      <c r="AO9" s="10" t="s">
        <v>31</v>
      </c>
      <c r="AP9" s="11">
        <f t="shared" si="10"/>
        <v>8</v>
      </c>
      <c r="AQ9" s="10"/>
      <c r="AR9" s="10"/>
      <c r="AS9" s="12" t="s">
        <v>43</v>
      </c>
      <c r="AT9" s="12">
        <f t="shared" si="11"/>
        <v>8</v>
      </c>
      <c r="AU9" s="12"/>
      <c r="AV9" s="12"/>
      <c r="AW9" s="33"/>
      <c r="AX9" s="34"/>
    </row>
    <row r="10" spans="1:50">
      <c r="A10" s="97" t="s">
        <v>40</v>
      </c>
      <c r="B10" s="98">
        <f t="shared" si="1"/>
        <v>9</v>
      </c>
      <c r="C10" s="102"/>
      <c r="D10" s="102"/>
      <c r="E10" s="12" t="s">
        <v>41</v>
      </c>
      <c r="F10" s="13">
        <f t="shared" si="2"/>
        <v>9</v>
      </c>
      <c r="G10" s="35"/>
      <c r="H10" s="12"/>
      <c r="I10" s="12" t="s">
        <v>41</v>
      </c>
      <c r="J10" s="13">
        <f t="shared" si="4"/>
        <v>9</v>
      </c>
      <c r="K10" s="12"/>
      <c r="L10" s="12"/>
      <c r="M10" s="94" t="s">
        <v>29</v>
      </c>
      <c r="N10" s="95">
        <f t="shared" si="5"/>
        <v>9</v>
      </c>
      <c r="O10" s="94"/>
      <c r="P10" s="94"/>
      <c r="Q10" s="10" t="s">
        <v>42</v>
      </c>
      <c r="R10" s="11">
        <f t="shared" si="6"/>
        <v>9</v>
      </c>
      <c r="S10" s="10"/>
      <c r="T10" s="10"/>
      <c r="U10" s="12" t="s">
        <v>43</v>
      </c>
      <c r="V10" s="13">
        <f t="shared" si="7"/>
        <v>9</v>
      </c>
      <c r="W10" s="12"/>
      <c r="X10" s="12"/>
      <c r="Y10" s="12" t="s">
        <v>29</v>
      </c>
      <c r="Z10" s="12">
        <f t="shared" si="3"/>
        <v>9</v>
      </c>
      <c r="AA10" s="12"/>
      <c r="AB10" s="12"/>
      <c r="AC10" s="10" t="s">
        <v>31</v>
      </c>
      <c r="AD10" s="10">
        <f t="shared" si="8"/>
        <v>9</v>
      </c>
      <c r="AE10" s="10"/>
      <c r="AF10" s="10"/>
      <c r="AG10" s="12" t="s">
        <v>44</v>
      </c>
      <c r="AH10" s="12">
        <f t="shared" si="0"/>
        <v>9</v>
      </c>
      <c r="AI10" s="15"/>
      <c r="AJ10" s="15"/>
      <c r="AK10" s="12" t="s">
        <v>40</v>
      </c>
      <c r="AL10" s="12">
        <f t="shared" si="9"/>
        <v>9</v>
      </c>
      <c r="AM10" s="12"/>
      <c r="AN10" s="12"/>
      <c r="AO10" s="12" t="s">
        <v>41</v>
      </c>
      <c r="AP10" s="13">
        <f t="shared" si="10"/>
        <v>9</v>
      </c>
      <c r="AQ10" s="12"/>
      <c r="AR10" s="12"/>
      <c r="AS10" s="12" t="s">
        <v>44</v>
      </c>
      <c r="AT10" s="12">
        <f t="shared" si="11"/>
        <v>9</v>
      </c>
      <c r="AU10" s="12"/>
      <c r="AV10" s="12"/>
      <c r="AW10" s="16"/>
    </row>
    <row r="11" spans="1:50">
      <c r="A11" s="97" t="s">
        <v>42</v>
      </c>
      <c r="B11" s="98">
        <f t="shared" si="1"/>
        <v>10</v>
      </c>
      <c r="C11" s="102"/>
      <c r="D11" s="102"/>
      <c r="E11" s="12" t="s">
        <v>43</v>
      </c>
      <c r="F11" s="13">
        <f t="shared" si="2"/>
        <v>10</v>
      </c>
      <c r="G11" s="12"/>
      <c r="H11" s="12"/>
      <c r="I11" s="12" t="s">
        <v>43</v>
      </c>
      <c r="J11" s="13">
        <f t="shared" si="4"/>
        <v>10</v>
      </c>
      <c r="K11" s="35"/>
      <c r="L11" s="12"/>
      <c r="M11" s="94" t="s">
        <v>40</v>
      </c>
      <c r="N11" s="95">
        <f t="shared" si="5"/>
        <v>10</v>
      </c>
      <c r="O11" s="94"/>
      <c r="P11" s="94"/>
      <c r="Q11" s="10" t="s">
        <v>31</v>
      </c>
      <c r="R11" s="11">
        <f t="shared" si="6"/>
        <v>10</v>
      </c>
      <c r="S11" s="10"/>
      <c r="T11" s="10"/>
      <c r="U11" s="12" t="s">
        <v>44</v>
      </c>
      <c r="V11" s="13">
        <f t="shared" si="7"/>
        <v>10</v>
      </c>
      <c r="W11" s="12"/>
      <c r="X11" s="12"/>
      <c r="Y11" s="12" t="s">
        <v>40</v>
      </c>
      <c r="Z11" s="12">
        <f t="shared" si="3"/>
        <v>10</v>
      </c>
      <c r="AA11" s="35"/>
      <c r="AB11" s="12"/>
      <c r="AC11" s="12" t="s">
        <v>41</v>
      </c>
      <c r="AD11" s="12">
        <f t="shared" si="8"/>
        <v>10</v>
      </c>
      <c r="AE11" s="12"/>
      <c r="AF11" s="12"/>
      <c r="AG11" s="12" t="s">
        <v>29</v>
      </c>
      <c r="AH11" s="12">
        <f t="shared" si="0"/>
        <v>10</v>
      </c>
      <c r="AI11" s="37"/>
      <c r="AJ11" s="15"/>
      <c r="AK11" s="10" t="s">
        <v>42</v>
      </c>
      <c r="AL11" s="10">
        <f t="shared" si="9"/>
        <v>10</v>
      </c>
      <c r="AM11" s="38"/>
      <c r="AN11" s="10"/>
      <c r="AO11" s="12" t="s">
        <v>43</v>
      </c>
      <c r="AP11" s="12">
        <f t="shared" si="10"/>
        <v>10</v>
      </c>
      <c r="AQ11" s="12"/>
      <c r="AR11" s="12"/>
      <c r="AS11" s="12" t="s">
        <v>29</v>
      </c>
      <c r="AT11" s="12">
        <f t="shared" si="11"/>
        <v>10</v>
      </c>
      <c r="AU11" s="12"/>
      <c r="AV11" s="12"/>
      <c r="AW11" s="16"/>
    </row>
    <row r="12" spans="1:50">
      <c r="A12" s="97" t="s">
        <v>31</v>
      </c>
      <c r="B12" s="98">
        <f t="shared" si="1"/>
        <v>11</v>
      </c>
      <c r="C12" s="102"/>
      <c r="D12" s="102"/>
      <c r="E12" s="12" t="s">
        <v>44</v>
      </c>
      <c r="F12" s="12">
        <f t="shared" si="2"/>
        <v>11</v>
      </c>
      <c r="G12" s="12"/>
      <c r="H12" s="12"/>
      <c r="I12" s="12" t="s">
        <v>44</v>
      </c>
      <c r="J12" s="13">
        <f t="shared" si="4"/>
        <v>11</v>
      </c>
      <c r="K12" s="12"/>
      <c r="L12" s="12"/>
      <c r="M12" s="94" t="s">
        <v>42</v>
      </c>
      <c r="N12" s="95">
        <f t="shared" si="5"/>
        <v>11</v>
      </c>
      <c r="O12" s="94"/>
      <c r="P12" s="94"/>
      <c r="Q12" s="12" t="s">
        <v>41</v>
      </c>
      <c r="R12" s="13">
        <f t="shared" si="6"/>
        <v>11</v>
      </c>
      <c r="S12" s="12"/>
      <c r="T12" s="12"/>
      <c r="U12" s="12" t="s">
        <v>29</v>
      </c>
      <c r="V12" s="13">
        <f t="shared" si="7"/>
        <v>11</v>
      </c>
      <c r="W12" s="12"/>
      <c r="X12" s="12"/>
      <c r="Y12" s="10" t="s">
        <v>42</v>
      </c>
      <c r="Z12" s="10">
        <f t="shared" si="3"/>
        <v>11</v>
      </c>
      <c r="AA12" s="10"/>
      <c r="AB12" s="10"/>
      <c r="AC12" s="12" t="s">
        <v>43</v>
      </c>
      <c r="AD12" s="12">
        <f t="shared" si="8"/>
        <v>11</v>
      </c>
      <c r="AE12" s="12"/>
      <c r="AF12" s="12"/>
      <c r="AG12" s="12" t="s">
        <v>40</v>
      </c>
      <c r="AH12" s="12">
        <f t="shared" si="0"/>
        <v>11</v>
      </c>
      <c r="AI12" s="12"/>
      <c r="AJ12" s="12"/>
      <c r="AK12" s="10" t="s">
        <v>31</v>
      </c>
      <c r="AL12" s="10">
        <f t="shared" si="9"/>
        <v>11</v>
      </c>
      <c r="AM12" s="10"/>
      <c r="AN12" s="10"/>
      <c r="AO12" s="8" t="s">
        <v>44</v>
      </c>
      <c r="AP12" s="9">
        <f t="shared" si="10"/>
        <v>11</v>
      </c>
      <c r="AQ12" s="8" t="s">
        <v>48</v>
      </c>
      <c r="AR12" s="8"/>
      <c r="AS12" s="12" t="s">
        <v>40</v>
      </c>
      <c r="AT12" s="12">
        <f t="shared" si="11"/>
        <v>11</v>
      </c>
      <c r="AU12" s="12"/>
      <c r="AV12" s="12"/>
    </row>
    <row r="13" spans="1:50">
      <c r="A13" s="97" t="s">
        <v>41</v>
      </c>
      <c r="B13" s="98">
        <f t="shared" si="1"/>
        <v>12</v>
      </c>
      <c r="C13" s="102"/>
      <c r="D13" s="102"/>
      <c r="E13" s="12" t="s">
        <v>29</v>
      </c>
      <c r="F13" s="12">
        <f t="shared" si="2"/>
        <v>12</v>
      </c>
      <c r="G13" s="12"/>
      <c r="H13" s="12"/>
      <c r="I13" s="12" t="s">
        <v>29</v>
      </c>
      <c r="J13" s="13">
        <f t="shared" si="4"/>
        <v>12</v>
      </c>
      <c r="K13" s="12"/>
      <c r="L13" s="25"/>
      <c r="M13" s="94" t="s">
        <v>31</v>
      </c>
      <c r="N13" s="95">
        <f t="shared" si="5"/>
        <v>12</v>
      </c>
      <c r="O13" s="94"/>
      <c r="P13" s="100"/>
      <c r="Q13" s="23" t="s">
        <v>43</v>
      </c>
      <c r="R13" s="12">
        <f t="shared" si="6"/>
        <v>12</v>
      </c>
      <c r="S13" s="12"/>
      <c r="T13" s="12"/>
      <c r="U13" s="12" t="s">
        <v>40</v>
      </c>
      <c r="V13" s="13">
        <f t="shared" si="7"/>
        <v>12</v>
      </c>
      <c r="W13" s="12"/>
      <c r="X13" s="12"/>
      <c r="Y13" s="10" t="s">
        <v>31</v>
      </c>
      <c r="Z13" s="10">
        <f t="shared" si="3"/>
        <v>12</v>
      </c>
      <c r="AA13" s="10"/>
      <c r="AB13" s="27"/>
      <c r="AC13" s="12" t="s">
        <v>44</v>
      </c>
      <c r="AD13" s="12">
        <f t="shared" si="8"/>
        <v>12</v>
      </c>
      <c r="AE13" s="12"/>
      <c r="AF13" s="12"/>
      <c r="AG13" s="10" t="s">
        <v>42</v>
      </c>
      <c r="AH13" s="10">
        <f t="shared" si="0"/>
        <v>12</v>
      </c>
      <c r="AI13" s="10"/>
      <c r="AJ13" s="27"/>
      <c r="AK13" s="12" t="s">
        <v>41</v>
      </c>
      <c r="AL13" s="12">
        <f t="shared" si="9"/>
        <v>12</v>
      </c>
      <c r="AM13" s="12"/>
      <c r="AN13" s="25"/>
      <c r="AO13" s="12" t="s">
        <v>29</v>
      </c>
      <c r="AP13" s="13">
        <f t="shared" si="10"/>
        <v>12</v>
      </c>
      <c r="AQ13" s="12"/>
      <c r="AR13" s="25"/>
      <c r="AS13" s="10" t="s">
        <v>42</v>
      </c>
      <c r="AT13" s="10">
        <f t="shared" si="11"/>
        <v>12</v>
      </c>
      <c r="AU13" s="10"/>
      <c r="AV13" s="10"/>
    </row>
    <row r="14" spans="1:50" ht="12.75" customHeight="1">
      <c r="A14" s="97" t="s">
        <v>43</v>
      </c>
      <c r="B14" s="98">
        <f t="shared" si="1"/>
        <v>13</v>
      </c>
      <c r="C14" s="97"/>
      <c r="D14" s="97"/>
      <c r="E14" s="12" t="s">
        <v>40</v>
      </c>
      <c r="F14" s="13">
        <f t="shared" si="2"/>
        <v>13</v>
      </c>
      <c r="G14" s="12"/>
      <c r="H14" s="25"/>
      <c r="I14" s="12" t="s">
        <v>40</v>
      </c>
      <c r="J14" s="13">
        <f t="shared" si="4"/>
        <v>13</v>
      </c>
      <c r="K14" s="12"/>
      <c r="L14" s="12"/>
      <c r="M14" s="12" t="s">
        <v>41</v>
      </c>
      <c r="N14" s="13">
        <f t="shared" si="5"/>
        <v>13</v>
      </c>
      <c r="O14" s="14"/>
      <c r="P14" s="12"/>
      <c r="Q14" s="23" t="s">
        <v>44</v>
      </c>
      <c r="R14" s="13">
        <f t="shared" si="6"/>
        <v>13</v>
      </c>
      <c r="S14" s="12"/>
      <c r="T14" s="12"/>
      <c r="U14" s="10" t="s">
        <v>42</v>
      </c>
      <c r="V14" s="11">
        <f t="shared" si="7"/>
        <v>13</v>
      </c>
      <c r="W14" s="10"/>
      <c r="X14" s="10"/>
      <c r="Y14" s="12" t="s">
        <v>41</v>
      </c>
      <c r="Z14" s="12">
        <f t="shared" si="3"/>
        <v>13</v>
      </c>
      <c r="AA14" s="12" t="s">
        <v>45</v>
      </c>
      <c r="AB14" s="12"/>
      <c r="AC14" s="12" t="s">
        <v>29</v>
      </c>
      <c r="AD14" s="12">
        <f t="shared" si="8"/>
        <v>13</v>
      </c>
      <c r="AE14" s="12"/>
      <c r="AF14" s="12"/>
      <c r="AG14" s="10" t="s">
        <v>31</v>
      </c>
      <c r="AH14" s="10">
        <f t="shared" si="0"/>
        <v>13</v>
      </c>
      <c r="AI14" s="10"/>
      <c r="AJ14" s="10"/>
      <c r="AK14" s="12" t="s">
        <v>43</v>
      </c>
      <c r="AL14" s="12">
        <f t="shared" si="9"/>
        <v>13</v>
      </c>
      <c r="AM14" s="12"/>
      <c r="AN14" s="12"/>
      <c r="AO14" s="12" t="s">
        <v>40</v>
      </c>
      <c r="AP14" s="13">
        <f t="shared" si="10"/>
        <v>13</v>
      </c>
      <c r="AQ14" s="12"/>
      <c r="AR14" s="12"/>
      <c r="AS14" s="10" t="s">
        <v>31</v>
      </c>
      <c r="AT14" s="10">
        <f t="shared" si="11"/>
        <v>13</v>
      </c>
      <c r="AU14" s="10"/>
      <c r="AV14" s="10"/>
    </row>
    <row r="15" spans="1:50">
      <c r="A15" s="97" t="s">
        <v>44</v>
      </c>
      <c r="B15" s="98">
        <f t="shared" si="1"/>
        <v>14</v>
      </c>
      <c r="C15" s="97"/>
      <c r="D15" s="97"/>
      <c r="E15" s="10" t="s">
        <v>42</v>
      </c>
      <c r="F15" s="11">
        <f t="shared" si="2"/>
        <v>14</v>
      </c>
      <c r="G15" s="10"/>
      <c r="H15" s="10"/>
      <c r="I15" s="10" t="s">
        <v>42</v>
      </c>
      <c r="J15" s="11">
        <f t="shared" si="4"/>
        <v>14</v>
      </c>
      <c r="K15" s="10"/>
      <c r="L15" s="10"/>
      <c r="M15" s="12" t="s">
        <v>43</v>
      </c>
      <c r="N15" s="13">
        <f t="shared" si="5"/>
        <v>14</v>
      </c>
      <c r="O15" s="12"/>
      <c r="P15" s="12"/>
      <c r="Q15" s="8" t="s">
        <v>29</v>
      </c>
      <c r="R15" s="9">
        <f t="shared" si="6"/>
        <v>14</v>
      </c>
      <c r="S15" s="8" t="s">
        <v>49</v>
      </c>
      <c r="T15" s="39"/>
      <c r="U15" s="10" t="s">
        <v>31</v>
      </c>
      <c r="V15" s="11">
        <f t="shared" si="7"/>
        <v>14</v>
      </c>
      <c r="W15" s="10"/>
      <c r="X15" s="10"/>
      <c r="Y15" s="8" t="s">
        <v>43</v>
      </c>
      <c r="Z15" s="8">
        <f t="shared" si="3"/>
        <v>14</v>
      </c>
      <c r="AA15" s="8" t="s">
        <v>50</v>
      </c>
      <c r="AB15" s="8"/>
      <c r="AC15" s="12" t="s">
        <v>40</v>
      </c>
      <c r="AD15" s="12">
        <f t="shared" si="8"/>
        <v>14</v>
      </c>
      <c r="AE15" s="12"/>
      <c r="AF15" s="12"/>
      <c r="AG15" s="12" t="s">
        <v>41</v>
      </c>
      <c r="AH15" s="12">
        <f t="shared" si="0"/>
        <v>14</v>
      </c>
      <c r="AI15" s="12"/>
      <c r="AJ15" s="12"/>
      <c r="AK15" s="12" t="s">
        <v>44</v>
      </c>
      <c r="AL15" s="12">
        <f t="shared" si="9"/>
        <v>14</v>
      </c>
      <c r="AM15" s="12"/>
      <c r="AN15" s="12"/>
      <c r="AO15" s="10" t="s">
        <v>42</v>
      </c>
      <c r="AP15" s="11">
        <f t="shared" si="10"/>
        <v>14</v>
      </c>
      <c r="AQ15" s="10"/>
      <c r="AR15" s="10"/>
      <c r="AS15" s="12" t="s">
        <v>41</v>
      </c>
      <c r="AT15" s="12">
        <f t="shared" si="11"/>
        <v>14</v>
      </c>
      <c r="AU15" s="12"/>
      <c r="AV15" s="12"/>
    </row>
    <row r="16" spans="1:50">
      <c r="A16" s="97" t="s">
        <v>29</v>
      </c>
      <c r="B16" s="98">
        <f t="shared" si="1"/>
        <v>15</v>
      </c>
      <c r="C16" s="97"/>
      <c r="D16" s="97"/>
      <c r="E16" s="10" t="s">
        <v>31</v>
      </c>
      <c r="F16" s="11">
        <f t="shared" si="2"/>
        <v>15</v>
      </c>
      <c r="G16" s="10"/>
      <c r="H16" s="10"/>
      <c r="I16" s="10" t="s">
        <v>31</v>
      </c>
      <c r="J16" s="11">
        <f t="shared" si="4"/>
        <v>15</v>
      </c>
      <c r="K16" s="10"/>
      <c r="L16" s="10"/>
      <c r="M16" s="12" t="s">
        <v>44</v>
      </c>
      <c r="N16" s="13">
        <f t="shared" si="5"/>
        <v>15</v>
      </c>
      <c r="O16" s="12"/>
      <c r="P16" s="12"/>
      <c r="Q16" s="17" t="s">
        <v>40</v>
      </c>
      <c r="R16" s="18">
        <f t="shared" si="6"/>
        <v>15</v>
      </c>
      <c r="S16" s="17"/>
      <c r="T16" s="17">
        <v>1</v>
      </c>
      <c r="U16" s="12" t="s">
        <v>41</v>
      </c>
      <c r="V16" s="13">
        <f t="shared" si="7"/>
        <v>15</v>
      </c>
      <c r="W16" s="12"/>
      <c r="X16" s="12"/>
      <c r="Y16" s="12" t="s">
        <v>44</v>
      </c>
      <c r="Z16" s="12">
        <f t="shared" si="3"/>
        <v>15</v>
      </c>
      <c r="AA16" s="12"/>
      <c r="AB16" s="12"/>
      <c r="AC16" s="10" t="s">
        <v>42</v>
      </c>
      <c r="AD16" s="11">
        <f t="shared" si="8"/>
        <v>15</v>
      </c>
      <c r="AE16" s="10" t="s">
        <v>51</v>
      </c>
      <c r="AF16" s="10"/>
      <c r="AG16" s="12" t="s">
        <v>43</v>
      </c>
      <c r="AH16" s="12">
        <f t="shared" si="0"/>
        <v>15</v>
      </c>
      <c r="AI16" s="12"/>
      <c r="AJ16" s="12"/>
      <c r="AK16" s="12" t="s">
        <v>29</v>
      </c>
      <c r="AL16" s="12">
        <f t="shared" si="9"/>
        <v>15</v>
      </c>
      <c r="AM16" s="12"/>
      <c r="AN16" s="12"/>
      <c r="AO16" s="10" t="s">
        <v>31</v>
      </c>
      <c r="AP16" s="11">
        <f t="shared" si="10"/>
        <v>15</v>
      </c>
      <c r="AQ16" s="10"/>
      <c r="AR16" s="10"/>
      <c r="AS16" s="12" t="s">
        <v>43</v>
      </c>
      <c r="AT16" s="12">
        <f t="shared" si="11"/>
        <v>15</v>
      </c>
      <c r="AU16" s="12"/>
      <c r="AV16" s="12"/>
    </row>
    <row r="17" spans="1:48">
      <c r="A17" s="97" t="s">
        <v>40</v>
      </c>
      <c r="B17" s="98">
        <f t="shared" si="1"/>
        <v>16</v>
      </c>
      <c r="C17" s="97"/>
      <c r="D17" s="97"/>
      <c r="E17" s="12" t="s">
        <v>41</v>
      </c>
      <c r="F17" s="13">
        <f t="shared" si="2"/>
        <v>16</v>
      </c>
      <c r="G17" s="35"/>
      <c r="H17" s="12"/>
      <c r="I17" s="12" t="s">
        <v>41</v>
      </c>
      <c r="J17" s="13">
        <f t="shared" si="4"/>
        <v>16</v>
      </c>
      <c r="K17" s="12"/>
      <c r="L17" s="12"/>
      <c r="M17" s="12" t="s">
        <v>29</v>
      </c>
      <c r="N17" s="13">
        <f t="shared" si="5"/>
        <v>16</v>
      </c>
      <c r="O17" s="12"/>
      <c r="P17" s="12"/>
      <c r="Q17" s="10" t="s">
        <v>42</v>
      </c>
      <c r="R17" s="11">
        <f t="shared" si="6"/>
        <v>16</v>
      </c>
      <c r="S17" s="26"/>
      <c r="T17" s="10"/>
      <c r="U17" s="12" t="s">
        <v>43</v>
      </c>
      <c r="V17" s="13">
        <f t="shared" si="7"/>
        <v>16</v>
      </c>
      <c r="W17" s="12"/>
      <c r="X17" s="12"/>
      <c r="Y17" s="12" t="s">
        <v>29</v>
      </c>
      <c r="Z17" s="12">
        <f t="shared" si="3"/>
        <v>16</v>
      </c>
      <c r="AA17" s="12"/>
      <c r="AB17" s="12"/>
      <c r="AC17" s="10" t="s">
        <v>31</v>
      </c>
      <c r="AD17" s="10">
        <f t="shared" si="8"/>
        <v>16</v>
      </c>
      <c r="AE17" s="10"/>
      <c r="AF17" s="10"/>
      <c r="AG17" s="12" t="s">
        <v>44</v>
      </c>
      <c r="AH17" s="12">
        <f t="shared" si="0"/>
        <v>16</v>
      </c>
      <c r="AI17" s="12"/>
      <c r="AJ17" s="12"/>
      <c r="AK17" s="12" t="s">
        <v>40</v>
      </c>
      <c r="AL17" s="12">
        <f t="shared" si="9"/>
        <v>16</v>
      </c>
      <c r="AM17" s="12"/>
      <c r="AN17" s="12"/>
      <c r="AO17" s="12" t="s">
        <v>41</v>
      </c>
      <c r="AP17" s="13">
        <f t="shared" si="10"/>
        <v>16</v>
      </c>
      <c r="AQ17" s="12"/>
      <c r="AR17" s="12"/>
      <c r="AS17" s="12" t="s">
        <v>44</v>
      </c>
      <c r="AT17" s="12">
        <f t="shared" si="11"/>
        <v>16</v>
      </c>
      <c r="AU17" s="12"/>
      <c r="AV17" s="12"/>
    </row>
    <row r="18" spans="1:48">
      <c r="A18" s="97" t="s">
        <v>42</v>
      </c>
      <c r="B18" s="98">
        <f t="shared" si="1"/>
        <v>17</v>
      </c>
      <c r="C18" s="102"/>
      <c r="D18" s="102"/>
      <c r="E18" s="12" t="s">
        <v>43</v>
      </c>
      <c r="F18" s="13">
        <f t="shared" si="2"/>
        <v>17</v>
      </c>
      <c r="G18" s="12"/>
      <c r="H18" s="12"/>
      <c r="I18" s="12" t="s">
        <v>43</v>
      </c>
      <c r="J18" s="13">
        <f t="shared" si="4"/>
        <v>17</v>
      </c>
      <c r="K18" s="35"/>
      <c r="L18" s="12"/>
      <c r="M18" s="12" t="s">
        <v>40</v>
      </c>
      <c r="N18" s="13">
        <f t="shared" si="5"/>
        <v>17</v>
      </c>
      <c r="O18" s="35"/>
      <c r="P18" s="12"/>
      <c r="Q18" s="10" t="s">
        <v>31</v>
      </c>
      <c r="R18" s="11">
        <f t="shared" si="6"/>
        <v>17</v>
      </c>
      <c r="S18" s="38"/>
      <c r="T18" s="10"/>
      <c r="U18" s="12" t="s">
        <v>44</v>
      </c>
      <c r="V18" s="13">
        <f t="shared" si="7"/>
        <v>17</v>
      </c>
      <c r="W18" s="35"/>
      <c r="X18" s="12"/>
      <c r="Y18" s="12" t="s">
        <v>40</v>
      </c>
      <c r="Z18" s="12">
        <f t="shared" si="3"/>
        <v>17</v>
      </c>
      <c r="AA18" s="35"/>
      <c r="AB18" s="12"/>
      <c r="AC18" s="12" t="s">
        <v>41</v>
      </c>
      <c r="AD18" s="12">
        <f t="shared" si="8"/>
        <v>17</v>
      </c>
      <c r="AE18" s="12"/>
      <c r="AF18" s="12"/>
      <c r="AG18" s="12" t="s">
        <v>29</v>
      </c>
      <c r="AH18" s="12">
        <f t="shared" si="0"/>
        <v>17</v>
      </c>
      <c r="AI18" s="35"/>
      <c r="AJ18" s="12"/>
      <c r="AK18" s="10" t="s">
        <v>42</v>
      </c>
      <c r="AL18" s="10">
        <f t="shared" si="9"/>
        <v>17</v>
      </c>
      <c r="AM18" s="38"/>
      <c r="AN18" s="10"/>
      <c r="AO18" s="12" t="s">
        <v>43</v>
      </c>
      <c r="AP18" s="13">
        <f t="shared" si="10"/>
        <v>17</v>
      </c>
      <c r="AQ18" s="12"/>
      <c r="AR18" s="12"/>
      <c r="AS18" s="12" t="s">
        <v>29</v>
      </c>
      <c r="AT18" s="12">
        <f t="shared" si="11"/>
        <v>17</v>
      </c>
      <c r="AU18" s="12"/>
      <c r="AV18" s="12"/>
    </row>
    <row r="19" spans="1:48" ht="12.75" customHeight="1">
      <c r="A19" s="97" t="s">
        <v>31</v>
      </c>
      <c r="B19" s="98">
        <f t="shared" si="1"/>
        <v>18</v>
      </c>
      <c r="C19" s="102"/>
      <c r="D19" s="102"/>
      <c r="E19" s="12" t="s">
        <v>44</v>
      </c>
      <c r="F19" s="12">
        <f t="shared" si="2"/>
        <v>18</v>
      </c>
      <c r="G19" s="12"/>
      <c r="H19" s="12"/>
      <c r="I19" s="94" t="s">
        <v>44</v>
      </c>
      <c r="J19" s="95">
        <f t="shared" si="4"/>
        <v>18</v>
      </c>
      <c r="K19" s="94"/>
      <c r="L19" s="94"/>
      <c r="M19" s="10" t="s">
        <v>42</v>
      </c>
      <c r="N19" s="11">
        <f t="shared" si="5"/>
        <v>18</v>
      </c>
      <c r="O19" s="26"/>
      <c r="P19" s="10"/>
      <c r="Q19" s="23" t="s">
        <v>41</v>
      </c>
      <c r="R19" s="13">
        <f t="shared" si="6"/>
        <v>18</v>
      </c>
      <c r="S19" s="12"/>
      <c r="T19" s="12"/>
      <c r="U19" s="12" t="s">
        <v>29</v>
      </c>
      <c r="V19" s="13">
        <f t="shared" si="7"/>
        <v>18</v>
      </c>
      <c r="W19" s="12"/>
      <c r="X19" s="12"/>
      <c r="Y19" s="10" t="s">
        <v>42</v>
      </c>
      <c r="Z19" s="10">
        <f t="shared" si="3"/>
        <v>18</v>
      </c>
      <c r="AA19" s="10"/>
      <c r="AB19" s="10"/>
      <c r="AC19" s="12" t="s">
        <v>43</v>
      </c>
      <c r="AD19" s="12">
        <f t="shared" si="8"/>
        <v>18</v>
      </c>
      <c r="AE19" s="12"/>
      <c r="AF19" s="12"/>
      <c r="AG19" s="12" t="s">
        <v>40</v>
      </c>
      <c r="AH19" s="12">
        <f t="shared" si="0"/>
        <v>18</v>
      </c>
      <c r="AI19" s="12"/>
      <c r="AJ19" s="12"/>
      <c r="AK19" s="10" t="s">
        <v>31</v>
      </c>
      <c r="AL19" s="10">
        <f t="shared" si="9"/>
        <v>18</v>
      </c>
      <c r="AM19" s="10"/>
      <c r="AN19" s="10"/>
      <c r="AO19" s="12" t="s">
        <v>44</v>
      </c>
      <c r="AP19" s="13">
        <f t="shared" si="10"/>
        <v>18</v>
      </c>
      <c r="AQ19" s="20"/>
      <c r="AR19" s="12"/>
      <c r="AS19" s="12" t="s">
        <v>40</v>
      </c>
      <c r="AT19" s="12">
        <f t="shared" si="11"/>
        <v>18</v>
      </c>
      <c r="AU19" s="12"/>
      <c r="AV19" s="12"/>
    </row>
    <row r="20" spans="1:48">
      <c r="A20" s="12" t="s">
        <v>41</v>
      </c>
      <c r="B20" s="13">
        <f t="shared" si="1"/>
        <v>19</v>
      </c>
      <c r="C20" s="32"/>
      <c r="D20" s="32"/>
      <c r="E20" s="12" t="s">
        <v>29</v>
      </c>
      <c r="F20" s="12">
        <f t="shared" si="2"/>
        <v>19</v>
      </c>
      <c r="G20" s="12"/>
      <c r="H20" s="12"/>
      <c r="I20" s="94" t="s">
        <v>29</v>
      </c>
      <c r="J20" s="95">
        <f t="shared" si="4"/>
        <v>19</v>
      </c>
      <c r="K20" s="94"/>
      <c r="L20" s="100"/>
      <c r="M20" s="10" t="s">
        <v>31</v>
      </c>
      <c r="N20" s="11">
        <f t="shared" si="5"/>
        <v>19</v>
      </c>
      <c r="O20" s="10"/>
      <c r="P20" s="27"/>
      <c r="Q20" s="23" t="s">
        <v>43</v>
      </c>
      <c r="R20" s="13">
        <f t="shared" si="6"/>
        <v>19</v>
      </c>
      <c r="S20" s="14"/>
      <c r="T20" s="12"/>
      <c r="U20" s="12" t="s">
        <v>40</v>
      </c>
      <c r="V20" s="13">
        <f t="shared" si="7"/>
        <v>19</v>
      </c>
      <c r="W20" s="12"/>
      <c r="X20" s="12"/>
      <c r="Y20" s="10" t="s">
        <v>31</v>
      </c>
      <c r="Z20" s="10">
        <f t="shared" si="3"/>
        <v>19</v>
      </c>
      <c r="AA20" s="10"/>
      <c r="AB20" s="27"/>
      <c r="AC20" s="12" t="s">
        <v>44</v>
      </c>
      <c r="AD20" s="12">
        <f t="shared" si="8"/>
        <v>19</v>
      </c>
      <c r="AE20" s="12"/>
      <c r="AF20" s="12"/>
      <c r="AG20" s="10" t="s">
        <v>42</v>
      </c>
      <c r="AH20" s="10">
        <f t="shared" si="0"/>
        <v>19</v>
      </c>
      <c r="AI20" s="10"/>
      <c r="AJ20" s="27"/>
      <c r="AK20" s="12" t="s">
        <v>41</v>
      </c>
      <c r="AL20" s="12">
        <f t="shared" si="9"/>
        <v>19</v>
      </c>
      <c r="AM20" s="12"/>
      <c r="AN20" s="25"/>
      <c r="AO20" s="12" t="s">
        <v>29</v>
      </c>
      <c r="AP20" s="13">
        <f t="shared" si="10"/>
        <v>19</v>
      </c>
      <c r="AQ20" s="12"/>
      <c r="AR20" s="25"/>
      <c r="AS20" s="12" t="s">
        <v>42</v>
      </c>
      <c r="AT20" s="12">
        <f t="shared" si="11"/>
        <v>19</v>
      </c>
      <c r="AU20" s="12"/>
      <c r="AV20" s="25"/>
    </row>
    <row r="21" spans="1:48">
      <c r="A21" s="12" t="s">
        <v>43</v>
      </c>
      <c r="B21" s="13">
        <f t="shared" si="1"/>
        <v>20</v>
      </c>
      <c r="C21" s="12"/>
      <c r="D21" s="12"/>
      <c r="E21" s="12" t="s">
        <v>40</v>
      </c>
      <c r="F21" s="13">
        <f t="shared" si="2"/>
        <v>20</v>
      </c>
      <c r="G21" s="12"/>
      <c r="H21" s="25"/>
      <c r="I21" s="94" t="s">
        <v>40</v>
      </c>
      <c r="J21" s="95">
        <f t="shared" si="4"/>
        <v>20</v>
      </c>
      <c r="K21" s="94"/>
      <c r="L21" s="94"/>
      <c r="M21" s="12" t="s">
        <v>41</v>
      </c>
      <c r="N21" s="13">
        <f t="shared" si="5"/>
        <v>20</v>
      </c>
      <c r="O21" s="14"/>
      <c r="P21" s="12"/>
      <c r="Q21" s="23" t="s">
        <v>44</v>
      </c>
      <c r="R21" s="13">
        <f t="shared" si="6"/>
        <v>20</v>
      </c>
      <c r="S21" s="12"/>
      <c r="T21" s="12"/>
      <c r="U21" s="10" t="s">
        <v>42</v>
      </c>
      <c r="V21" s="11">
        <f t="shared" si="7"/>
        <v>20</v>
      </c>
      <c r="W21" s="10"/>
      <c r="X21" s="10"/>
      <c r="Y21" s="12" t="s">
        <v>41</v>
      </c>
      <c r="Z21" s="12">
        <f t="shared" si="3"/>
        <v>20</v>
      </c>
      <c r="AA21" s="12"/>
      <c r="AB21" s="12"/>
      <c r="AC21" s="12" t="s">
        <v>29</v>
      </c>
      <c r="AD21" s="12">
        <f t="shared" si="8"/>
        <v>20</v>
      </c>
      <c r="AE21" s="12"/>
      <c r="AF21" s="12"/>
      <c r="AG21" s="10" t="s">
        <v>31</v>
      </c>
      <c r="AH21" s="10">
        <f t="shared" si="0"/>
        <v>20</v>
      </c>
      <c r="AI21" s="10"/>
      <c r="AJ21" s="10"/>
      <c r="AK21" s="12" t="s">
        <v>43</v>
      </c>
      <c r="AL21" s="12">
        <f t="shared" si="9"/>
        <v>20</v>
      </c>
      <c r="AM21" s="12"/>
      <c r="AN21" s="12"/>
      <c r="AO21" s="12" t="s">
        <v>40</v>
      </c>
      <c r="AP21" s="13">
        <f t="shared" si="10"/>
        <v>20</v>
      </c>
      <c r="AQ21" s="12"/>
      <c r="AR21" s="12"/>
      <c r="AS21" s="10" t="s">
        <v>31</v>
      </c>
      <c r="AT21" s="10">
        <f t="shared" si="11"/>
        <v>20</v>
      </c>
      <c r="AU21" s="10"/>
      <c r="AV21" s="10"/>
    </row>
    <row r="22" spans="1:48">
      <c r="A22" s="12" t="s">
        <v>44</v>
      </c>
      <c r="B22" s="13">
        <f t="shared" si="1"/>
        <v>21</v>
      </c>
      <c r="C22" s="12"/>
      <c r="D22" s="12"/>
      <c r="E22" s="10" t="s">
        <v>42</v>
      </c>
      <c r="F22" s="11">
        <f t="shared" si="2"/>
        <v>21</v>
      </c>
      <c r="G22" s="10"/>
      <c r="H22" s="10"/>
      <c r="I22" s="94" t="s">
        <v>42</v>
      </c>
      <c r="J22" s="95">
        <f t="shared" si="4"/>
        <v>21</v>
      </c>
      <c r="K22" s="94"/>
      <c r="L22" s="94"/>
      <c r="M22" s="12" t="s">
        <v>43</v>
      </c>
      <c r="N22" s="13">
        <f t="shared" si="5"/>
        <v>21</v>
      </c>
      <c r="O22" s="170" t="s">
        <v>82</v>
      </c>
      <c r="P22" s="171"/>
      <c r="Q22" s="23" t="s">
        <v>29</v>
      </c>
      <c r="R22" s="12">
        <f t="shared" si="6"/>
        <v>21</v>
      </c>
      <c r="S22" s="14"/>
      <c r="T22" s="12"/>
      <c r="U22" s="10" t="s">
        <v>31</v>
      </c>
      <c r="V22" s="11">
        <f t="shared" si="7"/>
        <v>21</v>
      </c>
      <c r="W22" s="10"/>
      <c r="X22" s="10"/>
      <c r="Y22" s="12" t="s">
        <v>43</v>
      </c>
      <c r="Z22" s="12">
        <f t="shared" si="3"/>
        <v>21</v>
      </c>
      <c r="AA22" s="12"/>
      <c r="AB22" s="12"/>
      <c r="AC22" s="12" t="s">
        <v>40</v>
      </c>
      <c r="AD22" s="12">
        <f t="shared" si="8"/>
        <v>21</v>
      </c>
      <c r="AE22" s="12"/>
      <c r="AF22" s="12"/>
      <c r="AG22" s="12" t="s">
        <v>41</v>
      </c>
      <c r="AH22" s="12">
        <f t="shared" si="0"/>
        <v>21</v>
      </c>
      <c r="AI22" s="12"/>
      <c r="AJ22" s="12"/>
      <c r="AK22" s="12" t="s">
        <v>44</v>
      </c>
      <c r="AL22" s="12">
        <f t="shared" si="9"/>
        <v>21</v>
      </c>
      <c r="AM22" s="12"/>
      <c r="AN22" s="12"/>
      <c r="AO22" s="10" t="s">
        <v>42</v>
      </c>
      <c r="AP22" s="11">
        <f t="shared" si="10"/>
        <v>21</v>
      </c>
      <c r="AQ22" s="10"/>
      <c r="AR22" s="10"/>
      <c r="AS22" s="10" t="s">
        <v>41</v>
      </c>
      <c r="AT22" s="10">
        <f t="shared" si="11"/>
        <v>21</v>
      </c>
      <c r="AU22" s="10"/>
      <c r="AV22" s="10"/>
    </row>
    <row r="23" spans="1:48">
      <c r="A23" s="12" t="s">
        <v>29</v>
      </c>
      <c r="B23" s="13">
        <f t="shared" si="1"/>
        <v>22</v>
      </c>
      <c r="C23" s="12"/>
      <c r="D23" s="12"/>
      <c r="E23" s="10" t="s">
        <v>31</v>
      </c>
      <c r="F23" s="11">
        <f t="shared" si="2"/>
        <v>22</v>
      </c>
      <c r="G23" s="10"/>
      <c r="H23" s="10"/>
      <c r="I23" s="94" t="s">
        <v>31</v>
      </c>
      <c r="J23" s="95">
        <f t="shared" si="4"/>
        <v>22</v>
      </c>
      <c r="K23" s="94"/>
      <c r="L23" s="94"/>
      <c r="M23" s="12" t="s">
        <v>44</v>
      </c>
      <c r="N23" s="13">
        <f t="shared" si="5"/>
        <v>22</v>
      </c>
      <c r="O23" s="14"/>
      <c r="P23" s="12"/>
      <c r="Q23" s="23" t="s">
        <v>40</v>
      </c>
      <c r="R23" s="13">
        <f t="shared" si="6"/>
        <v>22</v>
      </c>
      <c r="S23" s="12"/>
      <c r="T23" s="12"/>
      <c r="U23" s="12" t="s">
        <v>41</v>
      </c>
      <c r="V23" s="13">
        <f t="shared" si="7"/>
        <v>22</v>
      </c>
      <c r="W23" s="12"/>
      <c r="X23" s="12"/>
      <c r="Y23" s="12" t="s">
        <v>44</v>
      </c>
      <c r="Z23" s="12">
        <f t="shared" si="3"/>
        <v>22</v>
      </c>
      <c r="AA23" s="12"/>
      <c r="AB23" s="12"/>
      <c r="AC23" s="10" t="s">
        <v>42</v>
      </c>
      <c r="AD23" s="10">
        <f t="shared" si="8"/>
        <v>22</v>
      </c>
      <c r="AE23" s="10"/>
      <c r="AF23" s="10"/>
      <c r="AG23" s="12" t="s">
        <v>43</v>
      </c>
      <c r="AH23" s="12">
        <f t="shared" si="0"/>
        <v>22</v>
      </c>
      <c r="AI23" s="12"/>
      <c r="AJ23" s="12"/>
      <c r="AK23" s="12" t="s">
        <v>29</v>
      </c>
      <c r="AL23" s="12">
        <f t="shared" si="9"/>
        <v>22</v>
      </c>
      <c r="AM23" s="12"/>
      <c r="AN23" s="12"/>
      <c r="AO23" s="10" t="s">
        <v>31</v>
      </c>
      <c r="AP23" s="11">
        <f t="shared" si="10"/>
        <v>22</v>
      </c>
      <c r="AQ23" s="40"/>
      <c r="AR23" s="10"/>
      <c r="AS23" s="12" t="s">
        <v>43</v>
      </c>
      <c r="AT23" s="12">
        <f t="shared" si="11"/>
        <v>22</v>
      </c>
      <c r="AU23" s="12"/>
      <c r="AV23" s="12"/>
    </row>
    <row r="24" spans="1:48">
      <c r="A24" s="12" t="s">
        <v>40</v>
      </c>
      <c r="B24" s="13">
        <f t="shared" si="1"/>
        <v>23</v>
      </c>
      <c r="C24" s="12"/>
      <c r="D24" s="12"/>
      <c r="E24" s="17" t="s">
        <v>41</v>
      </c>
      <c r="F24" s="18">
        <f t="shared" si="2"/>
        <v>23</v>
      </c>
      <c r="G24" s="103"/>
      <c r="H24" s="17">
        <v>1</v>
      </c>
      <c r="I24" s="94" t="s">
        <v>41</v>
      </c>
      <c r="J24" s="95">
        <f t="shared" si="4"/>
        <v>23</v>
      </c>
      <c r="K24" s="94"/>
      <c r="L24" s="94"/>
      <c r="M24" s="12" t="s">
        <v>29</v>
      </c>
      <c r="N24" s="13">
        <f t="shared" si="5"/>
        <v>23</v>
      </c>
      <c r="O24" s="12"/>
      <c r="P24" s="12"/>
      <c r="Q24" s="10" t="s">
        <v>42</v>
      </c>
      <c r="R24" s="10">
        <f t="shared" si="6"/>
        <v>23</v>
      </c>
      <c r="S24" s="10"/>
      <c r="T24" s="10"/>
      <c r="U24" s="12" t="s">
        <v>43</v>
      </c>
      <c r="V24" s="13">
        <f t="shared" si="7"/>
        <v>23</v>
      </c>
      <c r="W24" s="12"/>
      <c r="X24" s="12"/>
      <c r="Y24" s="12" t="s">
        <v>29</v>
      </c>
      <c r="Z24" s="12">
        <f t="shared" si="3"/>
        <v>23</v>
      </c>
      <c r="AA24" s="12"/>
      <c r="AB24" s="12"/>
      <c r="AC24" s="10" t="s">
        <v>31</v>
      </c>
      <c r="AD24" s="10">
        <f t="shared" si="8"/>
        <v>23</v>
      </c>
      <c r="AE24" s="10"/>
      <c r="AF24" s="10"/>
      <c r="AG24" s="12" t="s">
        <v>44</v>
      </c>
      <c r="AH24" s="41">
        <f t="shared" si="0"/>
        <v>23</v>
      </c>
      <c r="AI24" s="41"/>
      <c r="AJ24" s="41"/>
      <c r="AK24" s="12" t="s">
        <v>40</v>
      </c>
      <c r="AL24" s="12">
        <f t="shared" si="9"/>
        <v>23</v>
      </c>
      <c r="AM24" s="12"/>
      <c r="AN24" s="12"/>
      <c r="AO24" s="12" t="s">
        <v>41</v>
      </c>
      <c r="AP24" s="13">
        <f t="shared" si="10"/>
        <v>23</v>
      </c>
      <c r="AQ24" s="20"/>
      <c r="AR24" s="12"/>
      <c r="AS24" s="12" t="s">
        <v>44</v>
      </c>
      <c r="AT24" s="12">
        <f t="shared" si="11"/>
        <v>23</v>
      </c>
      <c r="AU24" s="12"/>
      <c r="AV24" s="12"/>
    </row>
    <row r="25" spans="1:48">
      <c r="A25" s="10" t="s">
        <v>42</v>
      </c>
      <c r="B25" s="11">
        <f t="shared" si="1"/>
        <v>24</v>
      </c>
      <c r="C25" s="10"/>
      <c r="D25" s="10"/>
      <c r="E25" s="12" t="s">
        <v>43</v>
      </c>
      <c r="F25" s="13">
        <f t="shared" si="2"/>
        <v>24</v>
      </c>
      <c r="G25" s="12"/>
      <c r="H25" s="12"/>
      <c r="I25" s="94" t="s">
        <v>43</v>
      </c>
      <c r="J25" s="95">
        <f t="shared" si="4"/>
        <v>24</v>
      </c>
      <c r="K25" s="104"/>
      <c r="L25" s="94"/>
      <c r="M25" s="12" t="s">
        <v>40</v>
      </c>
      <c r="N25" s="13">
        <f t="shared" si="5"/>
        <v>24</v>
      </c>
      <c r="O25" s="14"/>
      <c r="P25" s="12"/>
      <c r="Q25" s="10" t="s">
        <v>31</v>
      </c>
      <c r="R25" s="11">
        <f t="shared" si="6"/>
        <v>24</v>
      </c>
      <c r="S25" s="26"/>
      <c r="T25" s="10"/>
      <c r="U25" s="12" t="s">
        <v>44</v>
      </c>
      <c r="V25" s="13">
        <f t="shared" si="7"/>
        <v>24</v>
      </c>
      <c r="W25" s="35"/>
      <c r="X25" s="12"/>
      <c r="Y25" s="12" t="s">
        <v>40</v>
      </c>
      <c r="Z25" s="12">
        <f t="shared" si="3"/>
        <v>24</v>
      </c>
      <c r="AA25" s="35"/>
      <c r="AB25" s="12"/>
      <c r="AC25" s="12" t="s">
        <v>41</v>
      </c>
      <c r="AD25" s="12">
        <f t="shared" si="8"/>
        <v>24</v>
      </c>
      <c r="AE25" s="35"/>
      <c r="AF25" s="12"/>
      <c r="AG25" s="12" t="s">
        <v>29</v>
      </c>
      <c r="AH25" s="41">
        <f t="shared" si="0"/>
        <v>24</v>
      </c>
      <c r="AI25" s="41"/>
      <c r="AJ25" s="41"/>
      <c r="AK25" s="10" t="s">
        <v>42</v>
      </c>
      <c r="AL25" s="10">
        <f t="shared" si="9"/>
        <v>24</v>
      </c>
      <c r="AM25" s="38"/>
      <c r="AN25" s="10"/>
      <c r="AO25" s="12" t="s">
        <v>43</v>
      </c>
      <c r="AP25" s="13">
        <f t="shared" si="10"/>
        <v>24</v>
      </c>
      <c r="AQ25" s="20"/>
      <c r="AR25" s="12"/>
      <c r="AS25" s="12" t="s">
        <v>29</v>
      </c>
      <c r="AT25" s="12">
        <f t="shared" si="11"/>
        <v>24</v>
      </c>
      <c r="AU25" s="14"/>
      <c r="AV25" s="12"/>
    </row>
    <row r="26" spans="1:48">
      <c r="A26" s="10" t="s">
        <v>31</v>
      </c>
      <c r="B26" s="11">
        <f t="shared" si="1"/>
        <v>25</v>
      </c>
      <c r="C26" s="10"/>
      <c r="D26" s="10"/>
      <c r="E26" s="12" t="s">
        <v>44</v>
      </c>
      <c r="F26" s="12">
        <f t="shared" si="2"/>
        <v>25</v>
      </c>
      <c r="G26" s="12"/>
      <c r="H26" s="12"/>
      <c r="I26" s="94" t="s">
        <v>44</v>
      </c>
      <c r="J26" s="95">
        <f t="shared" si="4"/>
        <v>25</v>
      </c>
      <c r="K26" s="94"/>
      <c r="L26" s="94"/>
      <c r="M26" s="10" t="s">
        <v>42</v>
      </c>
      <c r="N26" s="11">
        <f t="shared" si="5"/>
        <v>25</v>
      </c>
      <c r="O26" s="10"/>
      <c r="P26" s="10"/>
      <c r="Q26" s="17" t="s">
        <v>41</v>
      </c>
      <c r="R26" s="18">
        <f t="shared" si="6"/>
        <v>25</v>
      </c>
      <c r="S26" s="17" t="s">
        <v>52</v>
      </c>
      <c r="T26" s="17">
        <v>1</v>
      </c>
      <c r="U26" s="12" t="s">
        <v>29</v>
      </c>
      <c r="V26" s="13">
        <f t="shared" si="7"/>
        <v>25</v>
      </c>
      <c r="W26" s="12"/>
      <c r="X26" s="12"/>
      <c r="Y26" s="10" t="s">
        <v>42</v>
      </c>
      <c r="Z26" s="10">
        <f t="shared" si="3"/>
        <v>25</v>
      </c>
      <c r="AA26" s="10"/>
      <c r="AB26" s="10"/>
      <c r="AC26" s="12" t="s">
        <v>43</v>
      </c>
      <c r="AD26" s="12">
        <f t="shared" si="8"/>
        <v>25</v>
      </c>
      <c r="AE26" s="12"/>
      <c r="AF26" s="12"/>
      <c r="AG26" s="12" t="s">
        <v>40</v>
      </c>
      <c r="AH26" s="12">
        <f t="shared" si="0"/>
        <v>25</v>
      </c>
      <c r="AI26" s="12"/>
      <c r="AJ26" s="12"/>
      <c r="AK26" s="10" t="s">
        <v>31</v>
      </c>
      <c r="AL26" s="10">
        <f t="shared" si="9"/>
        <v>25</v>
      </c>
      <c r="AM26" s="10"/>
      <c r="AN26" s="10"/>
      <c r="AO26" s="12" t="s">
        <v>44</v>
      </c>
      <c r="AP26" s="13">
        <f t="shared" si="10"/>
        <v>25</v>
      </c>
      <c r="AQ26" s="20"/>
      <c r="AR26" s="12"/>
      <c r="AS26" s="8" t="s">
        <v>40</v>
      </c>
      <c r="AT26" s="9">
        <f t="shared" si="11"/>
        <v>25</v>
      </c>
      <c r="AU26" s="8" t="s">
        <v>53</v>
      </c>
      <c r="AV26" s="8"/>
    </row>
    <row r="27" spans="1:48">
      <c r="A27" s="12" t="s">
        <v>41</v>
      </c>
      <c r="B27" s="13">
        <f t="shared" si="1"/>
        <v>26</v>
      </c>
      <c r="C27" s="12"/>
      <c r="D27" s="12"/>
      <c r="E27" s="12" t="s">
        <v>29</v>
      </c>
      <c r="F27" s="12">
        <f t="shared" si="2"/>
        <v>26</v>
      </c>
      <c r="G27" s="12"/>
      <c r="H27" s="12"/>
      <c r="I27" s="94" t="s">
        <v>29</v>
      </c>
      <c r="J27" s="95">
        <f t="shared" si="4"/>
        <v>26</v>
      </c>
      <c r="K27" s="94"/>
      <c r="L27" s="100"/>
      <c r="M27" s="10" t="s">
        <v>31</v>
      </c>
      <c r="N27" s="11">
        <f t="shared" si="5"/>
        <v>26</v>
      </c>
      <c r="O27" s="10"/>
      <c r="P27" s="27"/>
      <c r="Q27" s="23" t="s">
        <v>43</v>
      </c>
      <c r="R27" s="13">
        <f t="shared" si="6"/>
        <v>26</v>
      </c>
      <c r="S27" s="12"/>
      <c r="T27" s="12"/>
      <c r="U27" s="12" t="s">
        <v>40</v>
      </c>
      <c r="V27" s="13">
        <f t="shared" si="7"/>
        <v>26</v>
      </c>
      <c r="W27" s="12"/>
      <c r="X27" s="25"/>
      <c r="Y27" s="10" t="s">
        <v>31</v>
      </c>
      <c r="Z27" s="10">
        <f t="shared" si="3"/>
        <v>26</v>
      </c>
      <c r="AA27" s="10"/>
      <c r="AB27" s="27"/>
      <c r="AC27" s="12" t="s">
        <v>44</v>
      </c>
      <c r="AD27" s="12">
        <f t="shared" si="8"/>
        <v>26</v>
      </c>
      <c r="AE27" s="12"/>
      <c r="AF27" s="25"/>
      <c r="AG27" s="10" t="s">
        <v>42</v>
      </c>
      <c r="AH27" s="10">
        <f t="shared" si="0"/>
        <v>26</v>
      </c>
      <c r="AI27" s="10"/>
      <c r="AJ27" s="27"/>
      <c r="AK27" s="12" t="s">
        <v>41</v>
      </c>
      <c r="AL27" s="12">
        <f t="shared" si="9"/>
        <v>26</v>
      </c>
      <c r="AM27" s="12"/>
      <c r="AN27" s="25"/>
      <c r="AO27" s="12" t="s">
        <v>29</v>
      </c>
      <c r="AP27" s="13">
        <f t="shared" si="10"/>
        <v>26</v>
      </c>
      <c r="AQ27" s="20"/>
      <c r="AR27" s="25"/>
      <c r="AS27" s="10" t="s">
        <v>42</v>
      </c>
      <c r="AT27" s="10">
        <f t="shared" si="11"/>
        <v>26</v>
      </c>
      <c r="AU27" s="10"/>
      <c r="AV27" s="27"/>
    </row>
    <row r="28" spans="1:48">
      <c r="A28" s="12" t="s">
        <v>43</v>
      </c>
      <c r="B28" s="13">
        <f t="shared" si="1"/>
        <v>27</v>
      </c>
      <c r="C28" s="12"/>
      <c r="D28" s="12"/>
      <c r="E28" s="12" t="s">
        <v>40</v>
      </c>
      <c r="F28" s="13">
        <f t="shared" si="2"/>
        <v>27</v>
      </c>
      <c r="G28" s="12"/>
      <c r="H28" s="25"/>
      <c r="I28" s="94" t="s">
        <v>40</v>
      </c>
      <c r="J28" s="94">
        <f t="shared" si="4"/>
        <v>27</v>
      </c>
      <c r="K28" s="94" t="s">
        <v>45</v>
      </c>
      <c r="L28" s="100"/>
      <c r="M28" s="12" t="s">
        <v>41</v>
      </c>
      <c r="N28" s="12">
        <f t="shared" si="5"/>
        <v>27</v>
      </c>
      <c r="O28" s="12"/>
      <c r="P28" s="12"/>
      <c r="Q28" s="23" t="s">
        <v>44</v>
      </c>
      <c r="R28" s="13">
        <f t="shared" si="6"/>
        <v>27</v>
      </c>
      <c r="S28" s="12"/>
      <c r="T28" s="12"/>
      <c r="U28" s="10" t="s">
        <v>42</v>
      </c>
      <c r="V28" s="11">
        <f t="shared" si="7"/>
        <v>27</v>
      </c>
      <c r="W28" s="10"/>
      <c r="X28" s="10"/>
      <c r="Y28" s="12" t="s">
        <v>41</v>
      </c>
      <c r="Z28" s="12">
        <f t="shared" si="3"/>
        <v>27</v>
      </c>
      <c r="AA28" s="12"/>
      <c r="AB28" s="12"/>
      <c r="AC28" s="12" t="s">
        <v>29</v>
      </c>
      <c r="AD28" s="12">
        <f t="shared" si="8"/>
        <v>27</v>
      </c>
      <c r="AE28" s="12"/>
      <c r="AF28" s="12"/>
      <c r="AG28" s="10" t="s">
        <v>31</v>
      </c>
      <c r="AH28" s="10">
        <f t="shared" si="0"/>
        <v>27</v>
      </c>
      <c r="AI28" s="10"/>
      <c r="AJ28" s="10"/>
      <c r="AK28" s="12" t="s">
        <v>43</v>
      </c>
      <c r="AL28" s="12">
        <f t="shared" si="9"/>
        <v>27</v>
      </c>
      <c r="AM28" s="12"/>
      <c r="AN28" s="12"/>
      <c r="AO28" s="12" t="s">
        <v>40</v>
      </c>
      <c r="AP28" s="13">
        <f t="shared" si="10"/>
        <v>27</v>
      </c>
      <c r="AQ28" s="12"/>
      <c r="AR28" s="12"/>
      <c r="AS28" s="10" t="s">
        <v>31</v>
      </c>
      <c r="AT28" s="10">
        <f t="shared" si="11"/>
        <v>27</v>
      </c>
      <c r="AU28" s="10"/>
      <c r="AV28" s="10"/>
    </row>
    <row r="29" spans="1:48">
      <c r="A29" s="12" t="s">
        <v>44</v>
      </c>
      <c r="B29" s="13">
        <f t="shared" si="1"/>
        <v>28</v>
      </c>
      <c r="C29" s="12"/>
      <c r="D29" s="12"/>
      <c r="E29" s="10" t="s">
        <v>42</v>
      </c>
      <c r="F29" s="11">
        <f t="shared" si="2"/>
        <v>28</v>
      </c>
      <c r="G29" s="10"/>
      <c r="H29" s="10"/>
      <c r="I29" s="94" t="s">
        <v>42</v>
      </c>
      <c r="J29" s="95">
        <f t="shared" si="4"/>
        <v>28</v>
      </c>
      <c r="K29" s="94"/>
      <c r="L29" s="94"/>
      <c r="M29" s="12" t="s">
        <v>43</v>
      </c>
      <c r="N29" s="13">
        <f t="shared" si="5"/>
        <v>28</v>
      </c>
      <c r="O29" s="12"/>
      <c r="P29" s="12"/>
      <c r="Q29" s="23" t="s">
        <v>29</v>
      </c>
      <c r="R29" s="13">
        <f t="shared" si="6"/>
        <v>28</v>
      </c>
      <c r="S29" s="12"/>
      <c r="T29" s="12"/>
      <c r="U29" s="10" t="s">
        <v>31</v>
      </c>
      <c r="V29" s="11">
        <f t="shared" si="7"/>
        <v>28</v>
      </c>
      <c r="W29" s="10"/>
      <c r="X29" s="10"/>
      <c r="Y29" s="12" t="s">
        <v>43</v>
      </c>
      <c r="Z29" s="12">
        <f t="shared" si="3"/>
        <v>28</v>
      </c>
      <c r="AA29" s="12"/>
      <c r="AB29" s="12"/>
      <c r="AC29" s="12" t="s">
        <v>40</v>
      </c>
      <c r="AD29" s="12">
        <f t="shared" si="8"/>
        <v>28</v>
      </c>
      <c r="AE29" s="12"/>
      <c r="AF29" s="12"/>
      <c r="AG29" s="12" t="s">
        <v>41</v>
      </c>
      <c r="AH29" s="12">
        <f t="shared" si="0"/>
        <v>28</v>
      </c>
      <c r="AI29" s="12"/>
      <c r="AJ29" s="12"/>
      <c r="AK29" s="12" t="s">
        <v>44</v>
      </c>
      <c r="AL29" s="12">
        <f t="shared" si="9"/>
        <v>28</v>
      </c>
      <c r="AM29" s="12"/>
      <c r="AN29" s="12"/>
      <c r="AO29" s="10" t="s">
        <v>42</v>
      </c>
      <c r="AP29" s="11">
        <f t="shared" si="10"/>
        <v>28</v>
      </c>
      <c r="AQ29" s="10"/>
      <c r="AR29" s="10"/>
      <c r="AS29" s="12" t="s">
        <v>41</v>
      </c>
      <c r="AT29" s="12">
        <f t="shared" si="11"/>
        <v>28</v>
      </c>
      <c r="AU29" s="12"/>
      <c r="AV29" s="12"/>
    </row>
    <row r="30" spans="1:48">
      <c r="A30" s="12" t="s">
        <v>29</v>
      </c>
      <c r="B30" s="13">
        <f t="shared" si="1"/>
        <v>29</v>
      </c>
      <c r="C30" s="12"/>
      <c r="D30" s="12"/>
      <c r="E30" s="12"/>
      <c r="F30" s="13"/>
      <c r="G30" s="12"/>
      <c r="H30" s="12"/>
      <c r="I30" s="94" t="s">
        <v>31</v>
      </c>
      <c r="J30" s="95">
        <f t="shared" si="4"/>
        <v>29</v>
      </c>
      <c r="K30" s="94"/>
      <c r="L30" s="94"/>
      <c r="M30" s="12" t="s">
        <v>44</v>
      </c>
      <c r="N30" s="13">
        <f t="shared" si="5"/>
        <v>29</v>
      </c>
      <c r="O30" s="12"/>
      <c r="P30" s="12"/>
      <c r="Q30" s="23" t="s">
        <v>40</v>
      </c>
      <c r="R30" s="13">
        <f t="shared" si="6"/>
        <v>29</v>
      </c>
      <c r="S30" s="12"/>
      <c r="T30" s="12"/>
      <c r="U30" s="12" t="s">
        <v>41</v>
      </c>
      <c r="V30" s="13">
        <f t="shared" si="7"/>
        <v>29</v>
      </c>
      <c r="W30" s="12"/>
      <c r="X30" s="12"/>
      <c r="Y30" s="12" t="s">
        <v>44</v>
      </c>
      <c r="Z30" s="12">
        <f t="shared" si="3"/>
        <v>29</v>
      </c>
      <c r="AA30" s="12"/>
      <c r="AB30" s="12"/>
      <c r="AC30" s="10" t="s">
        <v>42</v>
      </c>
      <c r="AD30" s="10">
        <f t="shared" si="8"/>
        <v>29</v>
      </c>
      <c r="AE30" s="10"/>
      <c r="AF30" s="10"/>
      <c r="AG30" s="12" t="s">
        <v>43</v>
      </c>
      <c r="AH30" s="12">
        <f t="shared" si="0"/>
        <v>29</v>
      </c>
      <c r="AI30" s="12"/>
      <c r="AJ30" s="12"/>
      <c r="AK30" s="12" t="s">
        <v>29</v>
      </c>
      <c r="AL30" s="12">
        <f t="shared" si="9"/>
        <v>29</v>
      </c>
      <c r="AM30" s="12"/>
      <c r="AN30" s="12"/>
      <c r="AO30" s="10" t="s">
        <v>31</v>
      </c>
      <c r="AP30" s="11">
        <f t="shared" si="10"/>
        <v>29</v>
      </c>
      <c r="AQ30" s="40"/>
      <c r="AR30" s="10"/>
      <c r="AS30" s="12" t="s">
        <v>43</v>
      </c>
      <c r="AT30" s="12">
        <f t="shared" si="11"/>
        <v>29</v>
      </c>
      <c r="AU30" s="12"/>
      <c r="AV30" s="12"/>
    </row>
    <row r="31" spans="1:48">
      <c r="A31" s="12" t="s">
        <v>40</v>
      </c>
      <c r="B31" s="13">
        <f t="shared" si="1"/>
        <v>30</v>
      </c>
      <c r="C31" s="12"/>
      <c r="D31" s="12"/>
      <c r="E31" s="12"/>
      <c r="F31" s="13"/>
      <c r="G31" s="12"/>
      <c r="H31" s="12"/>
      <c r="I31" s="94" t="s">
        <v>41</v>
      </c>
      <c r="J31" s="95">
        <f t="shared" si="4"/>
        <v>30</v>
      </c>
      <c r="K31" s="94"/>
      <c r="L31" s="94"/>
      <c r="M31" s="12" t="s">
        <v>29</v>
      </c>
      <c r="N31" s="13">
        <f t="shared" si="5"/>
        <v>30</v>
      </c>
      <c r="O31" s="12"/>
      <c r="P31" s="12"/>
      <c r="Q31" s="23" t="s">
        <v>42</v>
      </c>
      <c r="R31" s="13">
        <f t="shared" si="6"/>
        <v>30</v>
      </c>
      <c r="S31" s="12"/>
      <c r="T31" s="12"/>
      <c r="U31" s="12" t="s">
        <v>43</v>
      </c>
      <c r="V31" s="13">
        <f t="shared" si="7"/>
        <v>30</v>
      </c>
      <c r="W31" s="12"/>
      <c r="X31" s="12"/>
      <c r="Y31" s="12" t="s">
        <v>29</v>
      </c>
      <c r="Z31" s="12">
        <f t="shared" si="3"/>
        <v>30</v>
      </c>
      <c r="AA31" s="12"/>
      <c r="AB31" s="12"/>
      <c r="AC31" s="10" t="s">
        <v>31</v>
      </c>
      <c r="AD31" s="10">
        <f t="shared" si="8"/>
        <v>30</v>
      </c>
      <c r="AE31" s="10"/>
      <c r="AF31" s="10"/>
      <c r="AG31" s="12" t="s">
        <v>44</v>
      </c>
      <c r="AH31" s="12">
        <f t="shared" si="0"/>
        <v>30</v>
      </c>
      <c r="AI31" s="12"/>
      <c r="AJ31" s="12"/>
      <c r="AK31" s="12" t="s">
        <v>40</v>
      </c>
      <c r="AL31" s="12">
        <f t="shared" si="9"/>
        <v>30</v>
      </c>
      <c r="AM31" s="12"/>
      <c r="AN31" s="12"/>
      <c r="AO31" s="12" t="s">
        <v>41</v>
      </c>
      <c r="AP31" s="13">
        <f t="shared" si="10"/>
        <v>30</v>
      </c>
      <c r="AQ31" s="20"/>
      <c r="AR31" s="12"/>
      <c r="AS31" s="12" t="s">
        <v>44</v>
      </c>
      <c r="AT31" s="12">
        <f t="shared" si="11"/>
        <v>30</v>
      </c>
      <c r="AU31" s="12"/>
      <c r="AV31" s="12"/>
    </row>
    <row r="32" spans="1:48">
      <c r="A32" s="10" t="s">
        <v>42</v>
      </c>
      <c r="B32" s="11">
        <f t="shared" si="1"/>
        <v>31</v>
      </c>
      <c r="C32" s="10"/>
      <c r="D32" s="10"/>
      <c r="E32" s="12"/>
      <c r="F32" s="13"/>
      <c r="G32" s="12"/>
      <c r="H32" s="12"/>
      <c r="I32" s="94" t="s">
        <v>43</v>
      </c>
      <c r="J32" s="95">
        <f t="shared" si="4"/>
        <v>31</v>
      </c>
      <c r="K32" s="94"/>
      <c r="L32" s="94"/>
      <c r="M32" s="12" t="s">
        <v>40</v>
      </c>
      <c r="N32" s="13">
        <f t="shared" si="5"/>
        <v>31</v>
      </c>
      <c r="O32" s="12"/>
      <c r="P32" s="12"/>
      <c r="Q32" s="10" t="s">
        <v>31</v>
      </c>
      <c r="R32" s="11">
        <f t="shared" si="6"/>
        <v>31</v>
      </c>
      <c r="S32" s="10"/>
      <c r="T32" s="10"/>
      <c r="U32" s="12"/>
      <c r="V32" s="13"/>
      <c r="W32" s="12"/>
      <c r="X32" s="12"/>
      <c r="Y32" s="12" t="s">
        <v>40</v>
      </c>
      <c r="Z32" s="12">
        <f t="shared" si="3"/>
        <v>31</v>
      </c>
      <c r="AA32" s="12"/>
      <c r="AB32" s="12"/>
      <c r="AC32" s="12" t="s">
        <v>41</v>
      </c>
      <c r="AD32" s="12">
        <f t="shared" si="8"/>
        <v>31</v>
      </c>
      <c r="AE32" s="12"/>
      <c r="AF32" s="12"/>
      <c r="AG32" s="12"/>
      <c r="AH32" s="12"/>
      <c r="AI32" s="12"/>
      <c r="AJ32" s="12"/>
      <c r="AK32" s="10" t="s">
        <v>42</v>
      </c>
      <c r="AL32" s="10">
        <f t="shared" si="9"/>
        <v>31</v>
      </c>
      <c r="AM32" s="10"/>
      <c r="AN32" s="10"/>
      <c r="AO32" s="12"/>
      <c r="AP32" s="12"/>
      <c r="AQ32" s="12"/>
      <c r="AR32" s="12"/>
      <c r="AS32" s="12" t="s">
        <v>29</v>
      </c>
      <c r="AT32" s="12">
        <f t="shared" si="11"/>
        <v>31</v>
      </c>
      <c r="AU32" s="12"/>
      <c r="AV32" s="12"/>
    </row>
    <row r="33" spans="1:49">
      <c r="A33" s="12" t="s">
        <v>54</v>
      </c>
      <c r="B33" s="13"/>
      <c r="C33" s="20"/>
      <c r="D33" s="20"/>
      <c r="E33" s="12" t="s">
        <v>54</v>
      </c>
      <c r="F33" s="13"/>
      <c r="G33" s="20">
        <f>SUM(G2:G32)</f>
        <v>0</v>
      </c>
      <c r="H33" s="20">
        <f>SUM(H2:H32)</f>
        <v>1</v>
      </c>
      <c r="I33" s="12" t="s">
        <v>54</v>
      </c>
      <c r="J33" s="13"/>
      <c r="K33" s="20">
        <f>SUM(K2:K32)</f>
        <v>0</v>
      </c>
      <c r="L33" s="20">
        <f>SUM(L2:L32)</f>
        <v>0</v>
      </c>
      <c r="M33" s="12" t="s">
        <v>54</v>
      </c>
      <c r="N33" s="12"/>
      <c r="O33" s="20">
        <f>SUM(O3:O32)</f>
        <v>0</v>
      </c>
      <c r="P33" s="20">
        <f>SUM(P2:P32)</f>
        <v>0</v>
      </c>
      <c r="Q33" s="12" t="s">
        <v>54</v>
      </c>
      <c r="R33" s="13"/>
      <c r="S33" s="20">
        <f>SUM(S2:S32)</f>
        <v>0</v>
      </c>
      <c r="T33" s="20">
        <f>SUM(T31:T32)</f>
        <v>0</v>
      </c>
      <c r="U33" s="12" t="s">
        <v>54</v>
      </c>
      <c r="V33" s="13"/>
      <c r="W33" s="20">
        <f>SUM(W2:W32)</f>
        <v>0</v>
      </c>
      <c r="X33" s="20">
        <f>SUM(X2:X32)</f>
        <v>0</v>
      </c>
      <c r="Y33" s="12" t="s">
        <v>54</v>
      </c>
      <c r="Z33" s="12"/>
      <c r="AA33" s="20">
        <f>SUM(AA2:AA32)</f>
        <v>0</v>
      </c>
      <c r="AB33" s="20">
        <f>SUM(AB2:AB32)</f>
        <v>0</v>
      </c>
      <c r="AC33" s="12" t="s">
        <v>54</v>
      </c>
      <c r="AD33" s="12"/>
      <c r="AE33" s="20">
        <f>SUM(AE2:AE32)</f>
        <v>0</v>
      </c>
      <c r="AF33" s="20">
        <f>SUM(AF2:AF32)</f>
        <v>0</v>
      </c>
      <c r="AG33" s="12" t="s">
        <v>54</v>
      </c>
      <c r="AH33" s="12"/>
      <c r="AI33" s="20">
        <f>SUM(AI2:AI32)</f>
        <v>0</v>
      </c>
      <c r="AJ33" s="20">
        <f>SUM(AJ2:AJ32)</f>
        <v>1</v>
      </c>
      <c r="AK33" s="12" t="s">
        <v>54</v>
      </c>
      <c r="AL33" s="12"/>
      <c r="AM33" s="20">
        <f>SUM(AM2:AM32)</f>
        <v>0</v>
      </c>
      <c r="AN33" s="20">
        <f>SUM(AN2:AN32)</f>
        <v>0</v>
      </c>
      <c r="AO33" s="12" t="s">
        <v>54</v>
      </c>
      <c r="AP33" s="12"/>
      <c r="AQ33" s="20">
        <f>SUM(AQ2:AQ32)</f>
        <v>0</v>
      </c>
      <c r="AR33" s="20">
        <f>SUM(AR2:AR32)</f>
        <v>0</v>
      </c>
      <c r="AS33" s="12" t="s">
        <v>54</v>
      </c>
      <c r="AT33" s="12"/>
      <c r="AU33" s="20">
        <f>SUM(AU2:AU32)</f>
        <v>0</v>
      </c>
      <c r="AV33" s="42">
        <f>SUM(AV2:AV32)</f>
        <v>0</v>
      </c>
    </row>
    <row r="34" spans="1:49">
      <c r="I34" s="43"/>
      <c r="J34" s="43"/>
      <c r="K34" s="43">
        <v>0</v>
      </c>
      <c r="L34" s="43"/>
      <c r="M34" s="43"/>
      <c r="N34" s="43"/>
      <c r="O34" s="43"/>
      <c r="P34" s="43"/>
      <c r="Q34" s="43"/>
      <c r="R34" s="43"/>
      <c r="S34" s="43"/>
      <c r="T34" s="43"/>
      <c r="U34" s="44"/>
      <c r="V34" s="45"/>
      <c r="W34" s="45"/>
      <c r="X34" s="45"/>
    </row>
    <row r="35" spans="1:49" ht="15" customHeight="1">
      <c r="A35" s="46" t="s">
        <v>55</v>
      </c>
      <c r="B35" s="47"/>
      <c r="C35" s="48">
        <v>0</v>
      </c>
      <c r="D35" s="49" t="s">
        <v>56</v>
      </c>
      <c r="E35" s="46" t="s">
        <v>55</v>
      </c>
      <c r="F35" s="47"/>
      <c r="G35" s="48">
        <v>0</v>
      </c>
      <c r="H35" s="49" t="s">
        <v>56</v>
      </c>
      <c r="I35" s="46" t="s">
        <v>55</v>
      </c>
      <c r="J35" s="47"/>
      <c r="K35" s="48">
        <v>0</v>
      </c>
      <c r="L35" s="49" t="s">
        <v>56</v>
      </c>
      <c r="M35" s="46" t="s">
        <v>55</v>
      </c>
      <c r="N35" s="47"/>
      <c r="O35" s="48">
        <v>0</v>
      </c>
      <c r="P35" s="49" t="s">
        <v>56</v>
      </c>
      <c r="Q35" s="46" t="s">
        <v>55</v>
      </c>
      <c r="R35" s="47"/>
      <c r="S35" s="48">
        <v>0</v>
      </c>
      <c r="T35" s="49" t="s">
        <v>56</v>
      </c>
      <c r="U35" s="46" t="s">
        <v>55</v>
      </c>
      <c r="V35" s="47"/>
      <c r="W35" s="48">
        <f>+S35</f>
        <v>0</v>
      </c>
      <c r="X35" s="49" t="s">
        <v>56</v>
      </c>
      <c r="Y35" s="46" t="s">
        <v>55</v>
      </c>
      <c r="Z35" s="47"/>
      <c r="AA35" s="48">
        <f>+W35</f>
        <v>0</v>
      </c>
      <c r="AB35" s="49" t="s">
        <v>56</v>
      </c>
      <c r="AC35" s="46" t="s">
        <v>55</v>
      </c>
      <c r="AD35" s="47"/>
      <c r="AE35" s="48">
        <f>+AA35</f>
        <v>0</v>
      </c>
      <c r="AF35" s="49" t="s">
        <v>56</v>
      </c>
      <c r="AG35" s="46" t="s">
        <v>55</v>
      </c>
      <c r="AH35" s="47"/>
      <c r="AI35" s="48">
        <f>+AE35</f>
        <v>0</v>
      </c>
      <c r="AJ35" s="49" t="s">
        <v>56</v>
      </c>
      <c r="AK35" s="46" t="s">
        <v>55</v>
      </c>
      <c r="AL35" s="47"/>
      <c r="AM35" s="48">
        <f>+AI35-AN15-AN18</f>
        <v>0</v>
      </c>
      <c r="AN35" s="49" t="s">
        <v>56</v>
      </c>
      <c r="AO35" s="46" t="s">
        <v>55</v>
      </c>
      <c r="AP35" s="47"/>
      <c r="AQ35" s="48">
        <f>+AM35-AR15-AR18</f>
        <v>0</v>
      </c>
      <c r="AR35" s="49" t="s">
        <v>56</v>
      </c>
      <c r="AS35" s="46" t="s">
        <v>55</v>
      </c>
      <c r="AT35" s="47"/>
      <c r="AU35" s="50"/>
      <c r="AV35" s="49" t="s">
        <v>56</v>
      </c>
    </row>
    <row r="36" spans="1:49" ht="15" customHeight="1">
      <c r="A36" s="51" t="s">
        <v>57</v>
      </c>
      <c r="B36" s="52"/>
      <c r="C36" s="53">
        <v>0</v>
      </c>
      <c r="D36" s="54" t="s">
        <v>58</v>
      </c>
      <c r="E36" s="51" t="s">
        <v>57</v>
      </c>
      <c r="F36" s="52"/>
      <c r="G36" s="53">
        <v>0</v>
      </c>
      <c r="H36" s="54" t="s">
        <v>58</v>
      </c>
      <c r="I36" s="51" t="s">
        <v>57</v>
      </c>
      <c r="J36" s="52"/>
      <c r="K36" s="53">
        <v>0</v>
      </c>
      <c r="L36" s="54" t="s">
        <v>58</v>
      </c>
      <c r="M36" s="51" t="s">
        <v>57</v>
      </c>
      <c r="N36" s="52"/>
      <c r="O36" s="53">
        <v>0</v>
      </c>
      <c r="P36" s="54" t="s">
        <v>58</v>
      </c>
      <c r="Q36" s="51" t="s">
        <v>57</v>
      </c>
      <c r="R36" s="52"/>
      <c r="S36" s="53">
        <v>0</v>
      </c>
      <c r="T36" s="54" t="s">
        <v>58</v>
      </c>
      <c r="U36" s="51" t="s">
        <v>57</v>
      </c>
      <c r="V36" s="52"/>
      <c r="W36" s="53">
        <v>0</v>
      </c>
      <c r="X36" s="54" t="s">
        <v>58</v>
      </c>
      <c r="Y36" s="51" t="s">
        <v>57</v>
      </c>
      <c r="Z36" s="52"/>
      <c r="AA36" s="53">
        <v>0</v>
      </c>
      <c r="AB36" s="54" t="s">
        <v>58</v>
      </c>
      <c r="AC36" s="51" t="s">
        <v>57</v>
      </c>
      <c r="AD36" s="52"/>
      <c r="AE36" s="53">
        <v>0</v>
      </c>
      <c r="AF36" s="54" t="s">
        <v>58</v>
      </c>
      <c r="AG36" s="51" t="s">
        <v>57</v>
      </c>
      <c r="AH36" s="52"/>
      <c r="AI36" s="53">
        <v>0</v>
      </c>
      <c r="AJ36" s="54" t="s">
        <v>58</v>
      </c>
      <c r="AK36" s="51" t="s">
        <v>57</v>
      </c>
      <c r="AL36" s="52"/>
      <c r="AM36" s="53">
        <v>0</v>
      </c>
      <c r="AN36" s="54" t="s">
        <v>58</v>
      </c>
      <c r="AO36" s="51" t="s">
        <v>57</v>
      </c>
      <c r="AP36" s="52"/>
      <c r="AQ36" s="53">
        <v>0</v>
      </c>
      <c r="AR36" s="54" t="s">
        <v>58</v>
      </c>
      <c r="AS36" s="51" t="s">
        <v>57</v>
      </c>
      <c r="AT36" s="52"/>
      <c r="AU36" s="53"/>
      <c r="AV36" s="54" t="s">
        <v>58</v>
      </c>
    </row>
    <row r="37" spans="1:49" ht="15" customHeight="1">
      <c r="A37" s="51" t="s">
        <v>59</v>
      </c>
      <c r="B37" s="55"/>
      <c r="C37" s="53">
        <v>0</v>
      </c>
      <c r="D37" s="54" t="s">
        <v>60</v>
      </c>
      <c r="E37" s="51" t="s">
        <v>59</v>
      </c>
      <c r="F37" s="55"/>
      <c r="G37" s="53">
        <v>0</v>
      </c>
      <c r="H37" s="54" t="s">
        <v>60</v>
      </c>
      <c r="I37" s="51" t="s">
        <v>59</v>
      </c>
      <c r="J37" s="55"/>
      <c r="K37" s="53">
        <v>0</v>
      </c>
      <c r="L37" s="54" t="s">
        <v>60</v>
      </c>
      <c r="M37" s="51" t="s">
        <v>59</v>
      </c>
      <c r="N37" s="55"/>
      <c r="O37" s="53">
        <v>0</v>
      </c>
      <c r="P37" s="54" t="s">
        <v>60</v>
      </c>
      <c r="Q37" s="51" t="s">
        <v>59</v>
      </c>
      <c r="R37" s="55"/>
      <c r="S37" s="53">
        <v>0</v>
      </c>
      <c r="T37" s="54" t="s">
        <v>60</v>
      </c>
      <c r="U37" s="51" t="s">
        <v>59</v>
      </c>
      <c r="V37" s="55"/>
      <c r="W37" s="53">
        <v>0</v>
      </c>
      <c r="X37" s="54" t="s">
        <v>60</v>
      </c>
      <c r="Y37" s="51" t="s">
        <v>59</v>
      </c>
      <c r="Z37" s="55"/>
      <c r="AA37" s="53">
        <v>0</v>
      </c>
      <c r="AB37" s="54" t="s">
        <v>60</v>
      </c>
      <c r="AC37" s="51" t="s">
        <v>59</v>
      </c>
      <c r="AD37" s="55"/>
      <c r="AE37" s="53">
        <v>0</v>
      </c>
      <c r="AF37" s="54" t="s">
        <v>60</v>
      </c>
      <c r="AG37" s="51" t="s">
        <v>59</v>
      </c>
      <c r="AH37" s="55"/>
      <c r="AI37" s="53">
        <v>0</v>
      </c>
      <c r="AJ37" s="54" t="s">
        <v>60</v>
      </c>
      <c r="AK37" s="51" t="s">
        <v>59</v>
      </c>
      <c r="AL37" s="55"/>
      <c r="AM37" s="53">
        <v>0</v>
      </c>
      <c r="AN37" s="54" t="s">
        <v>60</v>
      </c>
      <c r="AO37" s="51" t="s">
        <v>59</v>
      </c>
      <c r="AP37" s="55"/>
      <c r="AQ37" s="53">
        <v>0</v>
      </c>
      <c r="AR37" s="54" t="s">
        <v>60</v>
      </c>
      <c r="AS37" s="51" t="s">
        <v>59</v>
      </c>
      <c r="AT37" s="55"/>
      <c r="AU37" s="56"/>
      <c r="AV37" s="54" t="s">
        <v>60</v>
      </c>
    </row>
    <row r="38" spans="1:49" ht="15" customHeight="1">
      <c r="A38" s="57" t="s">
        <v>61</v>
      </c>
      <c r="B38" s="58"/>
      <c r="C38" s="53">
        <v>0</v>
      </c>
      <c r="D38" s="54" t="s">
        <v>62</v>
      </c>
      <c r="E38" s="57" t="s">
        <v>61</v>
      </c>
      <c r="F38" s="58"/>
      <c r="G38" s="53">
        <v>0</v>
      </c>
      <c r="H38" s="54" t="s">
        <v>62</v>
      </c>
      <c r="I38" s="57" t="s">
        <v>61</v>
      </c>
      <c r="J38" s="58"/>
      <c r="K38" s="53">
        <v>0</v>
      </c>
      <c r="L38" s="54" t="s">
        <v>62</v>
      </c>
      <c r="M38" s="57" t="s">
        <v>61</v>
      </c>
      <c r="N38" s="58"/>
      <c r="O38" s="53">
        <v>0</v>
      </c>
      <c r="P38" s="54" t="s">
        <v>62</v>
      </c>
      <c r="Q38" s="57" t="s">
        <v>61</v>
      </c>
      <c r="R38" s="58"/>
      <c r="S38" s="53">
        <v>0</v>
      </c>
      <c r="T38" s="54" t="s">
        <v>62</v>
      </c>
      <c r="U38" s="57" t="s">
        <v>61</v>
      </c>
      <c r="V38" s="58"/>
      <c r="W38" s="53">
        <v>0</v>
      </c>
      <c r="X38" s="54" t="s">
        <v>62</v>
      </c>
      <c r="Y38" s="57" t="s">
        <v>61</v>
      </c>
      <c r="Z38" s="58"/>
      <c r="AA38" s="53">
        <v>0</v>
      </c>
      <c r="AB38" s="54" t="s">
        <v>62</v>
      </c>
      <c r="AC38" s="57" t="s">
        <v>61</v>
      </c>
      <c r="AD38" s="58"/>
      <c r="AE38" s="53">
        <v>0</v>
      </c>
      <c r="AF38" s="54" t="s">
        <v>62</v>
      </c>
      <c r="AG38" s="57" t="s">
        <v>61</v>
      </c>
      <c r="AH38" s="58"/>
      <c r="AI38" s="53">
        <v>0</v>
      </c>
      <c r="AJ38" s="54" t="s">
        <v>62</v>
      </c>
      <c r="AK38" s="57" t="s">
        <v>61</v>
      </c>
      <c r="AL38" s="58"/>
      <c r="AM38" s="53">
        <v>0</v>
      </c>
      <c r="AN38" s="54" t="s">
        <v>62</v>
      </c>
      <c r="AO38" s="57" t="s">
        <v>61</v>
      </c>
      <c r="AP38" s="58"/>
      <c r="AQ38" s="53">
        <v>0</v>
      </c>
      <c r="AR38" s="54" t="s">
        <v>62</v>
      </c>
      <c r="AS38" s="57" t="s">
        <v>61</v>
      </c>
      <c r="AT38" s="58"/>
      <c r="AU38" s="59"/>
      <c r="AV38" s="54" t="s">
        <v>62</v>
      </c>
      <c r="AW38" s="1"/>
    </row>
    <row r="39" spans="1:49" ht="15" customHeight="1">
      <c r="A39" s="60" t="s">
        <v>63</v>
      </c>
      <c r="B39" s="61"/>
      <c r="C39" s="62">
        <v>0</v>
      </c>
      <c r="D39" s="63" t="s">
        <v>64</v>
      </c>
      <c r="E39" s="60" t="s">
        <v>65</v>
      </c>
      <c r="F39" s="61"/>
      <c r="G39" s="62">
        <v>0</v>
      </c>
      <c r="H39" s="63" t="s">
        <v>64</v>
      </c>
      <c r="I39" s="60" t="s">
        <v>65</v>
      </c>
      <c r="J39" s="61"/>
      <c r="K39" s="62">
        <v>0</v>
      </c>
      <c r="L39" s="63" t="s">
        <v>64</v>
      </c>
      <c r="M39" s="60" t="s">
        <v>65</v>
      </c>
      <c r="N39" s="61"/>
      <c r="O39" s="62">
        <v>0</v>
      </c>
      <c r="P39" s="63" t="s">
        <v>64</v>
      </c>
      <c r="Q39" s="60" t="s">
        <v>65</v>
      </c>
      <c r="R39" s="61"/>
      <c r="S39" s="62">
        <v>0</v>
      </c>
      <c r="T39" s="63" t="s">
        <v>64</v>
      </c>
      <c r="U39" s="60" t="s">
        <v>65</v>
      </c>
      <c r="V39" s="61"/>
      <c r="W39" s="62">
        <v>0</v>
      </c>
      <c r="X39" s="63" t="s">
        <v>64</v>
      </c>
      <c r="Y39" s="60" t="s">
        <v>65</v>
      </c>
      <c r="Z39" s="61"/>
      <c r="AA39" s="62">
        <v>0</v>
      </c>
      <c r="AB39" s="63" t="s">
        <v>64</v>
      </c>
      <c r="AC39" s="60" t="s">
        <v>65</v>
      </c>
      <c r="AD39" s="61"/>
      <c r="AE39" s="62">
        <v>0</v>
      </c>
      <c r="AF39" s="63" t="s">
        <v>64</v>
      </c>
      <c r="AG39" s="60" t="s">
        <v>65</v>
      </c>
      <c r="AH39" s="61"/>
      <c r="AI39" s="62">
        <v>0</v>
      </c>
      <c r="AJ39" s="63" t="s">
        <v>64</v>
      </c>
      <c r="AK39" s="60" t="s">
        <v>65</v>
      </c>
      <c r="AL39" s="61"/>
      <c r="AM39" s="62">
        <v>0</v>
      </c>
      <c r="AN39" s="63" t="s">
        <v>64</v>
      </c>
      <c r="AO39" s="60" t="s">
        <v>65</v>
      </c>
      <c r="AP39" s="61"/>
      <c r="AQ39" s="62">
        <v>0</v>
      </c>
      <c r="AR39" s="63" t="s">
        <v>64</v>
      </c>
      <c r="AS39" s="60" t="s">
        <v>65</v>
      </c>
      <c r="AT39" s="61"/>
      <c r="AU39" s="64"/>
      <c r="AV39" s="54" t="s">
        <v>64</v>
      </c>
      <c r="AW39" s="1"/>
    </row>
    <row r="40" spans="1:49" ht="22.5" customHeight="1">
      <c r="B40" s="105"/>
      <c r="C40" s="106"/>
      <c r="D40" s="107"/>
      <c r="E40" s="107"/>
      <c r="F40" s="105"/>
      <c r="G40" s="106"/>
      <c r="H40" s="107"/>
      <c r="I40" s="107"/>
      <c r="J40" s="105"/>
      <c r="K40" s="106"/>
      <c r="L40" s="107"/>
      <c r="M40" s="107"/>
      <c r="N40" s="105"/>
      <c r="O40" s="106"/>
      <c r="P40" s="107"/>
      <c r="Q40" s="107"/>
      <c r="R40" s="105"/>
      <c r="S40" s="106"/>
      <c r="T40" s="107"/>
      <c r="U40" s="107"/>
      <c r="V40" s="105"/>
      <c r="W40" s="106"/>
      <c r="X40" s="107"/>
      <c r="Y40" s="107"/>
      <c r="Z40" s="105"/>
      <c r="AA40" s="106"/>
      <c r="AB40" s="107"/>
      <c r="AC40" s="107"/>
      <c r="AD40" s="105"/>
      <c r="AE40" s="106"/>
      <c r="AF40" s="107"/>
      <c r="AG40" s="107"/>
      <c r="AH40" s="105"/>
      <c r="AI40" s="106"/>
      <c r="AJ40" s="107"/>
      <c r="AK40" s="107"/>
      <c r="AL40" s="105"/>
      <c r="AM40" s="106"/>
      <c r="AN40" s="107"/>
      <c r="AO40" s="107"/>
      <c r="AP40" s="105"/>
      <c r="AQ40" s="106"/>
      <c r="AR40" s="107"/>
      <c r="AS40" s="107"/>
      <c r="AT40" s="105"/>
      <c r="AU40" s="107"/>
      <c r="AV40" s="107"/>
      <c r="AW40" s="108"/>
    </row>
    <row r="41" spans="1:49">
      <c r="A41" s="3" t="s">
        <v>66</v>
      </c>
      <c r="B41" s="3"/>
      <c r="E41" s="14"/>
      <c r="F41" s="14"/>
      <c r="G41" s="14"/>
      <c r="H41" s="14"/>
      <c r="I41" s="14"/>
      <c r="J41" s="65"/>
      <c r="K41" s="66"/>
      <c r="L41" s="14"/>
      <c r="M41" s="14"/>
      <c r="N41" s="65"/>
      <c r="O41" s="66"/>
      <c r="P41" s="14"/>
      <c r="Q41" s="14"/>
      <c r="R41" s="65"/>
      <c r="S41" s="66"/>
      <c r="T41" s="14"/>
      <c r="U41" s="14"/>
      <c r="V41" s="65"/>
      <c r="W41" s="66"/>
      <c r="X41" s="14"/>
      <c r="Y41" s="14"/>
      <c r="Z41" s="65"/>
      <c r="AA41" s="66"/>
      <c r="AB41" s="14"/>
      <c r="AC41" s="14"/>
      <c r="AD41" s="65"/>
      <c r="AE41" s="66"/>
      <c r="AF41" s="14"/>
      <c r="AG41" s="14"/>
      <c r="AH41" s="65"/>
      <c r="AI41" s="66"/>
      <c r="AJ41" s="14"/>
      <c r="AK41" s="14"/>
      <c r="AL41" s="65"/>
      <c r="AM41" s="66"/>
      <c r="AN41" s="14"/>
      <c r="AO41" s="14"/>
      <c r="AP41" s="65"/>
      <c r="AQ41" s="66"/>
      <c r="AR41" s="14"/>
      <c r="AS41" s="14"/>
      <c r="AT41" s="65"/>
      <c r="AU41" s="14"/>
      <c r="AV41" s="14"/>
      <c r="AW41" s="14"/>
    </row>
    <row r="42" spans="1:49">
      <c r="B42" s="3"/>
      <c r="E42" s="14"/>
      <c r="F42" s="14"/>
      <c r="G42" s="14"/>
      <c r="H42" s="14"/>
      <c r="I42" s="14"/>
      <c r="J42" s="65"/>
      <c r="K42" s="66"/>
      <c r="L42" s="14"/>
      <c r="M42" s="14"/>
      <c r="N42" s="65"/>
      <c r="O42" s="66"/>
      <c r="P42" s="14"/>
      <c r="Q42" s="14"/>
      <c r="R42" s="65"/>
      <c r="S42" s="66"/>
      <c r="T42" s="14"/>
      <c r="U42" s="14"/>
      <c r="V42" s="65"/>
      <c r="W42" s="66"/>
      <c r="X42" s="14"/>
      <c r="Y42" s="14"/>
      <c r="Z42" s="65"/>
      <c r="AA42" s="66"/>
      <c r="AB42" s="14"/>
      <c r="AC42" s="14"/>
      <c r="AD42" s="65"/>
      <c r="AE42" s="66"/>
      <c r="AF42" s="14"/>
      <c r="AG42" s="14"/>
      <c r="AH42" s="65"/>
      <c r="AI42" s="66"/>
      <c r="AJ42" s="14"/>
      <c r="AK42" s="14"/>
      <c r="AL42" s="65"/>
      <c r="AM42" s="66"/>
      <c r="AN42" s="14"/>
      <c r="AO42" s="14"/>
      <c r="AP42" s="65"/>
      <c r="AQ42" s="66"/>
      <c r="AR42" s="14"/>
      <c r="AS42" s="14"/>
      <c r="AT42" s="65"/>
      <c r="AU42" s="14"/>
      <c r="AV42" s="14"/>
      <c r="AW42" s="14"/>
    </row>
    <row r="43" spans="1:49">
      <c r="A43" s="69" t="s">
        <v>67</v>
      </c>
      <c r="B43" s="69"/>
      <c r="C43" s="69"/>
      <c r="D43" s="69"/>
      <c r="E43" s="14"/>
      <c r="F43" s="14"/>
      <c r="G43" s="14"/>
      <c r="H43" s="14"/>
      <c r="I43" s="14"/>
      <c r="J43" s="65"/>
      <c r="K43" s="66"/>
      <c r="L43" s="14"/>
      <c r="M43" s="14"/>
      <c r="N43" s="65"/>
      <c r="O43" s="66"/>
      <c r="P43" s="14"/>
      <c r="Q43" s="14"/>
      <c r="R43" s="65"/>
      <c r="S43" s="66"/>
      <c r="T43" s="14"/>
      <c r="U43" s="14"/>
      <c r="V43" s="65"/>
      <c r="W43" s="66"/>
      <c r="X43" s="14"/>
      <c r="Y43" s="14"/>
      <c r="Z43" s="65"/>
      <c r="AA43" s="66"/>
      <c r="AB43" s="14"/>
      <c r="AC43" s="14"/>
      <c r="AD43" s="65"/>
      <c r="AE43" s="66"/>
      <c r="AF43" s="14"/>
      <c r="AG43" s="14"/>
      <c r="AH43" s="65"/>
      <c r="AI43" s="66"/>
      <c r="AJ43" s="14"/>
      <c r="AK43" s="14"/>
      <c r="AL43" s="65"/>
      <c r="AM43" s="66"/>
      <c r="AN43" s="14"/>
      <c r="AO43" s="14"/>
      <c r="AP43" s="65"/>
      <c r="AQ43" s="66"/>
      <c r="AR43" s="14"/>
      <c r="AS43" s="14"/>
      <c r="AT43" s="65"/>
      <c r="AU43" s="14"/>
      <c r="AV43" s="14"/>
      <c r="AW43" s="14"/>
    </row>
    <row r="44" spans="1:49">
      <c r="A44" s="161" t="s">
        <v>68</v>
      </c>
      <c r="B44" s="162"/>
      <c r="C44" s="163"/>
      <c r="D44" s="69"/>
      <c r="E44" s="14"/>
      <c r="F44" s="14"/>
      <c r="G44" s="14"/>
      <c r="H44" s="14"/>
      <c r="I44" s="14"/>
      <c r="J44" s="14"/>
      <c r="K44" s="68"/>
      <c r="L44" s="14"/>
      <c r="M44" s="14"/>
      <c r="N44" s="14"/>
      <c r="O44" s="14"/>
      <c r="P44" s="14"/>
      <c r="Q44" s="14"/>
      <c r="R44" s="65"/>
      <c r="S44" s="14"/>
      <c r="T44" s="14"/>
      <c r="U44" s="14"/>
      <c r="V44" s="6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>
      <c r="A45" s="175"/>
      <c r="B45" s="165"/>
      <c r="C45" s="165"/>
      <c r="D45" s="166"/>
      <c r="E45" s="14"/>
      <c r="F45" s="14"/>
      <c r="G45" s="14"/>
      <c r="H45" s="14"/>
      <c r="I45" s="14"/>
      <c r="J45" s="14"/>
      <c r="K45" s="68"/>
      <c r="L45" s="14"/>
      <c r="M45" s="14"/>
      <c r="N45" s="14"/>
      <c r="O45" s="14"/>
      <c r="P45" s="14"/>
      <c r="Q45" s="14"/>
      <c r="R45" s="65"/>
      <c r="S45" s="14"/>
      <c r="T45" s="14"/>
      <c r="U45" s="14"/>
      <c r="V45" s="6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>
      <c r="A46" s="161" t="s">
        <v>69</v>
      </c>
      <c r="B46" s="162"/>
      <c r="C46" s="163"/>
      <c r="D46" s="69"/>
      <c r="E46" s="14"/>
      <c r="F46" s="14"/>
      <c r="G46" s="14"/>
      <c r="H46" s="14"/>
      <c r="I46" s="14"/>
      <c r="J46" s="14"/>
      <c r="K46" s="68"/>
      <c r="L46" s="14"/>
      <c r="M46" s="14"/>
      <c r="N46" s="14"/>
      <c r="O46" s="14"/>
      <c r="P46" s="14"/>
      <c r="Q46" s="14"/>
      <c r="R46" s="65"/>
      <c r="S46" s="14"/>
      <c r="T46" s="14"/>
      <c r="U46" s="14"/>
      <c r="V46" s="6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>
      <c r="A47" s="161" t="s">
        <v>70</v>
      </c>
      <c r="B47" s="162"/>
      <c r="C47" s="163"/>
      <c r="D47" s="69"/>
      <c r="E47" s="14"/>
      <c r="F47" s="14"/>
      <c r="G47" s="14"/>
      <c r="H47" s="14"/>
      <c r="I47" s="14"/>
      <c r="J47" s="14"/>
      <c r="K47" s="68"/>
      <c r="L47" s="14"/>
      <c r="M47" s="14"/>
      <c r="N47" s="14"/>
      <c r="O47" s="14"/>
      <c r="P47" s="14"/>
      <c r="Q47" s="14"/>
      <c r="R47" s="65"/>
      <c r="S47" s="14"/>
      <c r="T47" s="14"/>
      <c r="U47" s="14"/>
      <c r="V47" s="6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>
      <c r="B48" s="3"/>
      <c r="E48" s="14"/>
      <c r="F48" s="14"/>
      <c r="G48" s="14"/>
      <c r="H48" s="14"/>
      <c r="I48" s="14"/>
      <c r="J48" s="14"/>
      <c r="K48" s="68"/>
      <c r="L48" s="14"/>
      <c r="M48" s="14"/>
      <c r="N48" s="14"/>
      <c r="O48" s="14"/>
      <c r="P48" s="14"/>
      <c r="Q48" s="14"/>
      <c r="R48" s="65"/>
      <c r="S48" s="14"/>
      <c r="T48" s="14"/>
      <c r="U48" s="14"/>
      <c r="V48" s="6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50" ht="18">
      <c r="A49" s="70" t="s">
        <v>71</v>
      </c>
      <c r="B49" s="71"/>
      <c r="C49" s="72"/>
      <c r="D49" s="73"/>
      <c r="E49" s="175"/>
      <c r="F49" s="165"/>
      <c r="G49" s="166"/>
      <c r="J49" s="74"/>
      <c r="K49" s="75"/>
      <c r="AN49" s="58"/>
      <c r="AW49" s="14"/>
    </row>
    <row r="50" spans="1:50">
      <c r="B50" s="76"/>
    </row>
    <row r="51" spans="1:50">
      <c r="A51" s="77"/>
      <c r="B51" s="76" t="s">
        <v>72</v>
      </c>
    </row>
    <row r="52" spans="1:50">
      <c r="A52" s="78" t="s">
        <v>45</v>
      </c>
      <c r="B52" s="79" t="s">
        <v>73</v>
      </c>
    </row>
    <row r="53" spans="1:50" s="2" customFormat="1">
      <c r="A53" s="80"/>
      <c r="B53" s="79" t="s">
        <v>17</v>
      </c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s="2" customFormat="1">
      <c r="A54" s="81"/>
      <c r="B54" s="79" t="s">
        <v>74</v>
      </c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s="2" customFormat="1">
      <c r="A55" s="82"/>
      <c r="B55" s="79" t="s">
        <v>75</v>
      </c>
      <c r="C55" s="3"/>
      <c r="D55" s="3"/>
      <c r="E55" s="3"/>
      <c r="F55" s="3"/>
      <c r="G55" s="3"/>
      <c r="H55" s="3"/>
      <c r="K55" s="3"/>
      <c r="L55" s="3"/>
      <c r="M55" s="3"/>
      <c r="N55" s="3"/>
      <c r="O55" s="3"/>
      <c r="P55" s="3"/>
      <c r="Q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s="2" customFormat="1">
      <c r="A56" s="83"/>
      <c r="B56" s="79" t="s">
        <v>76</v>
      </c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s="2" customFormat="1">
      <c r="A57" s="84"/>
      <c r="B57" s="79" t="s">
        <v>77</v>
      </c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s="2" customFormat="1">
      <c r="A58" s="85"/>
      <c r="B58" s="86" t="s">
        <v>78</v>
      </c>
      <c r="C58" s="87"/>
      <c r="D58" s="87"/>
      <c r="E58" s="87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s="2" customFormat="1">
      <c r="A59" s="88"/>
      <c r="B59" s="89" t="s">
        <v>79</v>
      </c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s="2" customFormat="1">
      <c r="A60" s="90"/>
      <c r="B60" s="167" t="s">
        <v>80</v>
      </c>
      <c r="C60" s="167"/>
      <c r="D60" s="167"/>
      <c r="E60" s="167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</sheetData>
  <autoFilter ref="A1:AX60" xr:uid="{00000000-0009-0000-0000-00000C000000}"/>
  <mergeCells count="19">
    <mergeCell ref="AS1:AT1"/>
    <mergeCell ref="O22:P22"/>
    <mergeCell ref="A44:C44"/>
    <mergeCell ref="A45:D45"/>
    <mergeCell ref="U1:V1"/>
    <mergeCell ref="Y1:Z1"/>
    <mergeCell ref="AC1:AD1"/>
    <mergeCell ref="AG1:AH1"/>
    <mergeCell ref="AK1:AL1"/>
    <mergeCell ref="A1:B1"/>
    <mergeCell ref="E1:F1"/>
    <mergeCell ref="I1:J1"/>
    <mergeCell ref="M1:N1"/>
    <mergeCell ref="Q1:R1"/>
    <mergeCell ref="A46:C46"/>
    <mergeCell ref="A47:C47"/>
    <mergeCell ref="E49:G49"/>
    <mergeCell ref="B60:E60"/>
    <mergeCell ref="AO1:AP1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&amp;R&amp;A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Sommaire</vt:lpstr>
      <vt:lpstr>MODELE</vt:lpstr>
      <vt:lpstr>BOUFRIDA</vt:lpstr>
      <vt:lpstr>BOUVEYRON</vt:lpstr>
      <vt:lpstr>CASANOVA</vt:lpstr>
      <vt:lpstr>CHAMBERT</vt:lpstr>
      <vt:lpstr>DA SILVA CARDOSO </vt:lpstr>
      <vt:lpstr>EL IDRISSI</vt:lpstr>
      <vt:lpstr>GENAND</vt:lpstr>
      <vt:lpstr>GOYAT </vt:lpstr>
      <vt:lpstr>GROS</vt:lpstr>
      <vt:lpstr>JEAN</vt:lpstr>
      <vt:lpstr>LEBRUN </vt:lpstr>
      <vt:lpstr>OUASSIF</vt:lpstr>
      <vt:lpstr>POINSIGNON</vt:lpstr>
      <vt:lpstr>SARDA</vt:lpstr>
      <vt:lpstr>SOW</vt:lpstr>
      <vt:lpstr>TROUILLOUD</vt:lpstr>
      <vt:lpstr>VALLAT</vt:lpstr>
      <vt:lpstr>GARCIA</vt:lpstr>
      <vt:lpstr>LACAQUE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Amate</dc:creator>
  <cp:lastModifiedBy>Mathilde CLOUDSTONE</cp:lastModifiedBy>
  <cp:lastPrinted>2023-03-07T14:59:00Z</cp:lastPrinted>
  <dcterms:created xsi:type="dcterms:W3CDTF">2021-11-09T14:03:00Z</dcterms:created>
  <dcterms:modified xsi:type="dcterms:W3CDTF">2026-06-19T12:47:30Z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C89AC9340EAA4F8C86CA43055EFAD7A8_12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